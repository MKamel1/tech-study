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0832696ae1efcd28/AS_DS_prep/technical-study-and-projects/plan/"/>
    </mc:Choice>
  </mc:AlternateContent>
  <xr:revisionPtr revIDLastSave="27" documentId="11_FE85E5FACEB06D52AFDA1066472D2C2E89AC50AD" xr6:coauthVersionLast="47" xr6:coauthVersionMax="47" xr10:uidLastSave="{6E1C40CE-A87B-4B48-B3B3-3CBF78C032B8}"/>
  <bookViews>
    <workbookView minimized="1" xWindow="0" yWindow="20" windowWidth="19200" windowHeight="10980" activeTab="1" xr2:uid="{00000000-000D-0000-FFFF-FFFF00000000}"/>
  </bookViews>
  <sheets>
    <sheet name="Study Gantt" sheetId="1" r:id="rId1"/>
    <sheet name="Sheet1" sheetId="4" r:id="rId2"/>
    <sheet name="Legend" sheetId="2" r:id="rId3"/>
    <sheet name="Summary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8" i="4" l="1"/>
  <c r="E28" i="4"/>
  <c r="D29" i="4"/>
  <c r="E29" i="4"/>
  <c r="D30" i="4"/>
  <c r="E30" i="4"/>
  <c r="D31" i="4"/>
  <c r="E31" i="4"/>
  <c r="F4" i="4" s="1"/>
  <c r="G4" i="4" s="1"/>
  <c r="H4" i="4" s="1"/>
  <c r="D32" i="4"/>
  <c r="E32" i="4"/>
  <c r="D33" i="4"/>
  <c r="E33" i="4"/>
  <c r="D34" i="4"/>
  <c r="E34" i="4"/>
  <c r="D35" i="4"/>
  <c r="E35" i="4"/>
  <c r="D36" i="4"/>
  <c r="E36" i="4"/>
  <c r="D37" i="4"/>
  <c r="E37" i="4"/>
  <c r="D38" i="4"/>
  <c r="E38" i="4"/>
  <c r="D39" i="4"/>
  <c r="E39" i="4"/>
  <c r="D40" i="4"/>
  <c r="E40" i="4"/>
  <c r="D41" i="4"/>
  <c r="E41" i="4"/>
  <c r="D42" i="4"/>
  <c r="E42" i="4"/>
  <c r="D43" i="4"/>
  <c r="E43" i="4"/>
  <c r="D44" i="4"/>
  <c r="E44" i="4"/>
  <c r="D45" i="4"/>
  <c r="E45" i="4"/>
  <c r="D46" i="4"/>
  <c r="E46" i="4"/>
  <c r="D47" i="4"/>
  <c r="E47" i="4"/>
  <c r="D48" i="4"/>
  <c r="E48" i="4"/>
  <c r="D49" i="4"/>
  <c r="E49" i="4"/>
  <c r="D50" i="4"/>
  <c r="E50" i="4"/>
  <c r="D19" i="4"/>
  <c r="E19" i="4" s="1"/>
  <c r="D20" i="4"/>
  <c r="E20" i="4"/>
  <c r="D21" i="4"/>
  <c r="E21" i="4"/>
  <c r="D22" i="4"/>
  <c r="E22" i="4"/>
  <c r="D23" i="4"/>
  <c r="E23" i="4" s="1"/>
  <c r="D24" i="4"/>
  <c r="E24" i="4"/>
  <c r="D25" i="4"/>
  <c r="E25" i="4"/>
  <c r="D26" i="4"/>
  <c r="E26" i="4"/>
  <c r="D27" i="4"/>
  <c r="E27" i="4" s="1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4" i="4"/>
</calcChain>
</file>

<file path=xl/sharedStrings.xml><?xml version="1.0" encoding="utf-8"?>
<sst xmlns="http://schemas.openxmlformats.org/spreadsheetml/2006/main" count="1271" uniqueCount="403">
  <si>
    <t>Section</t>
  </si>
  <si>
    <t>Subsection</t>
  </si>
  <si>
    <t>Item ID</t>
  </si>
  <si>
    <t>Item Name</t>
  </si>
  <si>
    <t>Priority</t>
  </si>
  <si>
    <t>Hours</t>
  </si>
  <si>
    <t>Progress</t>
  </si>
  <si>
    <t>Notes</t>
  </si>
  <si>
    <t>W1</t>
  </si>
  <si>
    <t>W2</t>
  </si>
  <si>
    <t>W3</t>
  </si>
  <si>
    <t>W4</t>
  </si>
  <si>
    <t>W5</t>
  </si>
  <si>
    <t>W6</t>
  </si>
  <si>
    <t>W7</t>
  </si>
  <si>
    <t>W8</t>
  </si>
  <si>
    <t>W9</t>
  </si>
  <si>
    <t>W10</t>
  </si>
  <si>
    <t>W11</t>
  </si>
  <si>
    <t>W12</t>
  </si>
  <si>
    <t>W13</t>
  </si>
  <si>
    <t>W14</t>
  </si>
  <si>
    <t>W15</t>
  </si>
  <si>
    <t>W16</t>
  </si>
  <si>
    <t>W17</t>
  </si>
  <si>
    <t>W18</t>
  </si>
  <si>
    <t>W19</t>
  </si>
  <si>
    <t>W20</t>
  </si>
  <si>
    <t>W21</t>
  </si>
  <si>
    <t>W22</t>
  </si>
  <si>
    <t>W23</t>
  </si>
  <si>
    <t>W24</t>
  </si>
  <si>
    <t>W25</t>
  </si>
  <si>
    <t>W26</t>
  </si>
  <si>
    <t>W27</t>
  </si>
  <si>
    <t>W28</t>
  </si>
  <si>
    <t>1. Causal Inference (Primary Spike)</t>
  </si>
  <si>
    <t>1.1 Foundations</t>
  </si>
  <si>
    <t>1.1.1</t>
  </si>
  <si>
    <t>Potential Outcomes Framework (Rubin)</t>
  </si>
  <si>
    <t>[C]</t>
  </si>
  <si>
    <t>0%</t>
  </si>
  <si>
    <t>S</t>
  </si>
  <si>
    <t>1.1.2</t>
  </si>
  <si>
    <t>Structural Causal Models (Pearl)</t>
  </si>
  <si>
    <t>1.1.3</t>
  </si>
  <si>
    <t>Identification Strategies</t>
  </si>
  <si>
    <t>1.2 Classic Methods</t>
  </si>
  <si>
    <t>1.2.1</t>
  </si>
  <si>
    <t>Randomized Experiments</t>
  </si>
  <si>
    <t>1.2.2</t>
  </si>
  <si>
    <t>Difference-in-Differences (DiD)</t>
  </si>
  <si>
    <t>1.2.3</t>
  </si>
  <si>
    <t>Regression Discontinuity (RDD)</t>
  </si>
  <si>
    <t>[H]</t>
  </si>
  <si>
    <t>1.2.4</t>
  </si>
  <si>
    <t>Instrumental Variables (IV)</t>
  </si>
  <si>
    <t>1.2.5</t>
  </si>
  <si>
    <t>Synthetic Control Method</t>
  </si>
  <si>
    <t>1.2.6</t>
  </si>
  <si>
    <t>Propensity Score Methods</t>
  </si>
  <si>
    <t>1.2.7</t>
  </si>
  <si>
    <t>Adaptive Experimentation &amp; Bandits</t>
  </si>
  <si>
    <t>1.3 Modern Causal ML</t>
  </si>
  <si>
    <t>1.3.1</t>
  </si>
  <si>
    <t>Double/Debiased Machine Learning (DML)</t>
  </si>
  <si>
    <t>1.3.2</t>
  </si>
  <si>
    <t>Causal Forests</t>
  </si>
  <si>
    <t>1.3.3</t>
  </si>
  <si>
    <t>Meta-Learners</t>
  </si>
  <si>
    <t>1.4 Libraries &amp; Tools</t>
  </si>
  <si>
    <t>1.4.1</t>
  </si>
  <si>
    <t>DoWhy</t>
  </si>
  <si>
    <t>1.4.2</t>
  </si>
  <si>
    <t>EconML</t>
  </si>
  <si>
    <t>1.4.3</t>
  </si>
  <si>
    <t>CausalML</t>
  </si>
  <si>
    <t>[M]</t>
  </si>
  <si>
    <t>1.5 Advanced Topics</t>
  </si>
  <si>
    <t>1.5.1</t>
  </si>
  <si>
    <t>Sensitivity Analysis</t>
  </si>
  <si>
    <t>1.5.2</t>
  </si>
  <si>
    <t>Partial Identification</t>
  </si>
  <si>
    <t>[L]</t>
  </si>
  <si>
    <t>1.5.3</t>
  </si>
  <si>
    <t>Mediation Analysis</t>
  </si>
  <si>
    <t>1.6 Applications</t>
  </si>
  <si>
    <t>1.6.1</t>
  </si>
  <si>
    <t>Marketing &amp; Uplift</t>
  </si>
  <si>
    <t>1.6.2</t>
  </si>
  <si>
    <t>Economics-Based Prediction</t>
  </si>
  <si>
    <t>1.6.3</t>
  </si>
  <si>
    <t>Supply Chain Causal Problems</t>
  </si>
  <si>
    <t>2. Probability &amp; Statistics Foundations</t>
  </si>
  <si>
    <t>2.1 Probability Basics</t>
  </si>
  <si>
    <t>2.1.1</t>
  </si>
  <si>
    <t>Combinatorics</t>
  </si>
  <si>
    <t>R</t>
  </si>
  <si>
    <t>2.1.2</t>
  </si>
  <si>
    <t>Probability Rules</t>
  </si>
  <si>
    <t>2.1.3</t>
  </si>
  <si>
    <t>Bayes' Theorem</t>
  </si>
  <si>
    <t>2.2 Distributions</t>
  </si>
  <si>
    <t>2.2.1</t>
  </si>
  <si>
    <t>Discrete Distributions</t>
  </si>
  <si>
    <t>2.2.2</t>
  </si>
  <si>
    <t>Continuous Distributions</t>
  </si>
  <si>
    <t>2.2.3</t>
  </si>
  <si>
    <t>Key Theorems</t>
  </si>
  <si>
    <t>2.3 Statistical Inference</t>
  </si>
  <si>
    <t>2.3.1</t>
  </si>
  <si>
    <t>Estimation</t>
  </si>
  <si>
    <t>2.3.2</t>
  </si>
  <si>
    <t>Hypothesis Testing</t>
  </si>
  <si>
    <t>2.3.3</t>
  </si>
  <si>
    <t>Common Tests</t>
  </si>
  <si>
    <t>2.3.4</t>
  </si>
  <si>
    <t>Regression Diagnostics</t>
  </si>
  <si>
    <t>2.4 Advanced Statistical Theory</t>
  </si>
  <si>
    <t>2.4.1</t>
  </si>
  <si>
    <t>Asymptotic Theory</t>
  </si>
  <si>
    <t>2.4.2</t>
  </si>
  <si>
    <t>Bayesian Foundations</t>
  </si>
  <si>
    <t>3. ML/DL Fundamentals</t>
  </si>
  <si>
    <t>3.1 Supervised Learning</t>
  </si>
  <si>
    <t>3.1.1</t>
  </si>
  <si>
    <t>Core Concepts</t>
  </si>
  <si>
    <t>3.1.2</t>
  </si>
  <si>
    <t>Linear Models</t>
  </si>
  <si>
    <t>3.1.3</t>
  </si>
  <si>
    <t>Tree-Based Methods</t>
  </si>
  <si>
    <t>3.1.4</t>
  </si>
  <si>
    <t>Model Evaluation</t>
  </si>
  <si>
    <t>3.1.5</t>
  </si>
  <si>
    <t>Support Vector Machines</t>
  </si>
  <si>
    <t>3.1.6</t>
  </si>
  <si>
    <t>Imbalanced Learning</t>
  </si>
  <si>
    <t>3.2 Unsupervised Learning</t>
  </si>
  <si>
    <t>3.2.1</t>
  </si>
  <si>
    <t>Clustering</t>
  </si>
  <si>
    <t>3.2.2</t>
  </si>
  <si>
    <t>Dimensionality Reduction</t>
  </si>
  <si>
    <t>3.2.3</t>
  </si>
  <si>
    <t>EM Algorithm &amp; Mixture Models</t>
  </si>
  <si>
    <t>3.3 Deep Learning Basics</t>
  </si>
  <si>
    <t>3.3.1</t>
  </si>
  <si>
    <t>Neural Network Fundamentals</t>
  </si>
  <si>
    <t>3.3.2</t>
  </si>
  <si>
    <t>Practical Considerations</t>
  </si>
  <si>
    <t>3.3.3</t>
  </si>
  <si>
    <t>Architectures Overview</t>
  </si>
  <si>
    <t>3.3.4</t>
  </si>
  <si>
    <t>Transfer Learning</t>
  </si>
  <si>
    <t>3.4 Feature Engineering</t>
  </si>
  <si>
    <t>3.4.1</t>
  </si>
  <si>
    <t>Numerical Features</t>
  </si>
  <si>
    <t>3.4.2</t>
  </si>
  <si>
    <t>Categorical Features</t>
  </si>
  <si>
    <t>3.4.3</t>
  </si>
  <si>
    <t>Missing Data</t>
  </si>
  <si>
    <t>3.4.4</t>
  </si>
  <si>
    <t>Feature Selection</t>
  </si>
  <si>
    <t>3.5 Model Selection &amp; Tuning</t>
  </si>
  <si>
    <t>3.5.1</t>
  </si>
  <si>
    <t>Hyperparameter Optimization</t>
  </si>
  <si>
    <t>3.5.2</t>
  </si>
  <si>
    <t>Model Comparison</t>
  </si>
  <si>
    <t>3.5.3</t>
  </si>
  <si>
    <t>Model Interpretability</t>
  </si>
  <si>
    <t>4. Time Series &amp; Forecasting</t>
  </si>
  <si>
    <t>4.1 Fundamentals</t>
  </si>
  <si>
    <t>4.1.1</t>
  </si>
  <si>
    <t>Time Series Components</t>
  </si>
  <si>
    <t>4.1.2</t>
  </si>
  <si>
    <t>Stationarity</t>
  </si>
  <si>
    <t>4.2 Classical Methods</t>
  </si>
  <si>
    <t>4.2.1</t>
  </si>
  <si>
    <t>ARIMA Family</t>
  </si>
  <si>
    <t>4.2.2</t>
  </si>
  <si>
    <t>Exponential Smoothing</t>
  </si>
  <si>
    <t>4.3 Modern Methods</t>
  </si>
  <si>
    <t>4.3.1</t>
  </si>
  <si>
    <t>Prophet</t>
  </si>
  <si>
    <t>4.3.2</t>
  </si>
  <si>
    <t>ML-Based Forecasting</t>
  </si>
  <si>
    <t>4.3.3</t>
  </si>
  <si>
    <t>Neural Forecasters</t>
  </si>
  <si>
    <t>4.4 Practical Considerations</t>
  </si>
  <si>
    <t>4.4.1</t>
  </si>
  <si>
    <t>Evaluation Metrics</t>
  </si>
  <si>
    <t>4.4.2</t>
  </si>
  <si>
    <t>Cross-Validation for Time Series</t>
  </si>
  <si>
    <t>4.4.3</t>
  </si>
  <si>
    <t>Multiple Seasonalities</t>
  </si>
  <si>
    <t>4.4.4</t>
  </si>
  <si>
    <t>Hierarchical Forecasting</t>
  </si>
  <si>
    <t>4.5 Uncertainty Quantification</t>
  </si>
  <si>
    <t>4.5.1</t>
  </si>
  <si>
    <t>Prediction Intervals</t>
  </si>
  <si>
    <t>5. NLP, RAG &amp; Agentic AI</t>
  </si>
  <si>
    <t>5.1 NLP Fundamentals</t>
  </si>
  <si>
    <t>5.1.1</t>
  </si>
  <si>
    <t>Text Preprocessing</t>
  </si>
  <si>
    <t>5.1.2</t>
  </si>
  <si>
    <t>Text Representations</t>
  </si>
  <si>
    <t>5.1.3</t>
  </si>
  <si>
    <t>Common Tasks</t>
  </si>
  <si>
    <t>5.2 Transformers &amp; LLMs</t>
  </si>
  <si>
    <t>5.2.1</t>
  </si>
  <si>
    <t>Transformer Architecture</t>
  </si>
  <si>
    <t>5.2.2</t>
  </si>
  <si>
    <t>LLM Landscape</t>
  </si>
  <si>
    <t>5.2.3</t>
  </si>
  <si>
    <t>Using LLMs</t>
  </si>
  <si>
    <t>5.3 RAG (Retrieval-Augmented Generation)</t>
  </si>
  <si>
    <t>5.3.1</t>
  </si>
  <si>
    <t>RAG Architecture</t>
  </si>
  <si>
    <t>5.3.2</t>
  </si>
  <si>
    <t>Practical Implementation</t>
  </si>
  <si>
    <t>5.3.3</t>
  </si>
  <si>
    <t>RAG Evaluation</t>
  </si>
  <si>
    <t>5.4 Agentic AI</t>
  </si>
  <si>
    <t>5.4.1</t>
  </si>
  <si>
    <t>Agent Patterns</t>
  </si>
  <si>
    <t>5.4.2</t>
  </si>
  <si>
    <t>Agent Frameworks</t>
  </si>
  <si>
    <t>5.4.3</t>
  </si>
  <si>
    <t>Agent Challenges</t>
  </si>
  <si>
    <t>5.5 Causal + AI Intersection</t>
  </si>
  <si>
    <t>5.5.1</t>
  </si>
  <si>
    <t>LLM Evaluation with Causal Lens</t>
  </si>
  <si>
    <t>5.5.2</t>
  </si>
  <si>
    <t>LLM-Assisted Causal Discovery</t>
  </si>
  <si>
    <t>6. ML System Design</t>
  </si>
  <si>
    <t>6.1 Design Patterns</t>
  </si>
  <si>
    <t>6.1.1</t>
  </si>
  <si>
    <t>Batch Prediction Systems</t>
  </si>
  <si>
    <t>6.1.2</t>
  </si>
  <si>
    <t>Real-Time Prediction Systems</t>
  </si>
  <si>
    <t>6.1.3</t>
  </si>
  <si>
    <t>Training Pipelines</t>
  </si>
  <si>
    <t>6.2 Key Components</t>
  </si>
  <si>
    <t>6.2.1</t>
  </si>
  <si>
    <t>Feature Stores</t>
  </si>
  <si>
    <t>6.2.2</t>
  </si>
  <si>
    <t>Model Serving</t>
  </si>
  <si>
    <t>6.2.3</t>
  </si>
  <si>
    <t>Monitoring &amp; Observability</t>
  </si>
  <si>
    <t>6.2.4</t>
  </si>
  <si>
    <t>Data Quality &amp; Validation</t>
  </si>
  <si>
    <t>6.2.5</t>
  </si>
  <si>
    <t>Feedback Loops &amp; Bias</t>
  </si>
  <si>
    <t>6.3 Case Studies</t>
  </si>
  <si>
    <t>6.3.1</t>
  </si>
  <si>
    <t>Recommendation System</t>
  </si>
  <si>
    <t>6.3.2</t>
  </si>
  <si>
    <t>Demand Forecasting System</t>
  </si>
  <si>
    <t>6.3.3</t>
  </si>
  <si>
    <t>Fraud/Anomaly Detection</t>
  </si>
  <si>
    <t>6.3.4</t>
  </si>
  <si>
    <t>Cold Start Strategies</t>
  </si>
  <si>
    <t>7. Coding &amp; Algorithms</t>
  </si>
  <si>
    <t>7.1 Core Patterns for AS</t>
  </si>
  <si>
    <t>7.1.1</t>
  </si>
  <si>
    <t>Arrays &amp; Hashing</t>
  </si>
  <si>
    <t>7.1.2</t>
  </si>
  <si>
    <t>Trees</t>
  </si>
  <si>
    <t>7.1.3</t>
  </si>
  <si>
    <t>Dynamic Programming</t>
  </si>
  <si>
    <t>7.1.4</t>
  </si>
  <si>
    <t>Graphs</t>
  </si>
  <si>
    <t>7.2 Python for ML</t>
  </si>
  <si>
    <t>7.2.1</t>
  </si>
  <si>
    <t>NumPy/Pandas Proficiency</t>
  </si>
  <si>
    <t>7.2.2</t>
  </si>
  <si>
    <t>Scikit-learn Fluency</t>
  </si>
  <si>
    <t>7.2.3</t>
  </si>
  <si>
    <t>SQL Proficiency</t>
  </si>
  <si>
    <t>7.3 Coding Best Practices</t>
  </si>
  <si>
    <t>7.3.1</t>
  </si>
  <si>
    <t>Clean Code</t>
  </si>
  <si>
    <t>7.3.2</t>
  </si>
  <si>
    <t>Testing Basics</t>
  </si>
  <si>
    <t>8. Product Sense &amp; Communication</t>
  </si>
  <si>
    <t>8.1 Problem Formulation</t>
  </si>
  <si>
    <t>8.1.1</t>
  </si>
  <si>
    <t>Business to Technical Translation</t>
  </si>
  <si>
    <t>8.1.2</t>
  </si>
  <si>
    <t>When NOT to Use ML</t>
  </si>
  <si>
    <t>8.2 Stakeholder Communication</t>
  </si>
  <si>
    <t>8.2.1</t>
  </si>
  <si>
    <t>Explaining Models</t>
  </si>
  <si>
    <t>8.2.2</t>
  </si>
  <si>
    <t>Trade-off Discussions</t>
  </si>
  <si>
    <t>8.3 Case Study Practice</t>
  </si>
  <si>
    <t>8.3.1</t>
  </si>
  <si>
    <t>Metric Definition Cases</t>
  </si>
  <si>
    <t>8.3.2</t>
  </si>
  <si>
    <t>Ambiguous Problem Cases</t>
  </si>
  <si>
    <t>8.3.3</t>
  </si>
  <si>
    <t>Trade-off Cases</t>
  </si>
  <si>
    <t>9. Breadth Topics (Low Priority)</t>
  </si>
  <si>
    <t>9.1 Markov Models</t>
  </si>
  <si>
    <t>9.1.1</t>
  </si>
  <si>
    <t>Markov Chains</t>
  </si>
  <si>
    <t>9.1.2</t>
  </si>
  <si>
    <t>Hidden Markov Models</t>
  </si>
  <si>
    <t>9.2 Reinforcement Learning</t>
  </si>
  <si>
    <t>9.2.1</t>
  </si>
  <si>
    <t>Core Concepts Only</t>
  </si>
  <si>
    <t>9.2.2</t>
  </si>
  <si>
    <t>When RL is Used</t>
  </si>
  <si>
    <t>9.3 Survival Analysis</t>
  </si>
  <si>
    <t>9.3.1</t>
  </si>
  <si>
    <t>Fundamentals</t>
  </si>
  <si>
    <t>9.3.2</t>
  </si>
  <si>
    <t>Methods</t>
  </si>
  <si>
    <t>10. Optional Topics</t>
  </si>
  <si>
    <t>10.1 LLM Fine-Tuning</t>
  </si>
  <si>
    <t>10.1.1</t>
  </si>
  <si>
    <t>Fine-Tuning Approaches</t>
  </si>
  <si>
    <t>[OPTIONAL]</t>
  </si>
  <si>
    <t>10.1.2</t>
  </si>
  <si>
    <t>Practical Fine-Tuning</t>
  </si>
  <si>
    <t>10.1.3</t>
  </si>
  <si>
    <t>Open Models</t>
  </si>
  <si>
    <t>10.2 Large-Scale Processing</t>
  </si>
  <si>
    <t>10.2.1</t>
  </si>
  <si>
    <t>PySpark Basics</t>
  </si>
  <si>
    <t>10.2.2</t>
  </si>
  <si>
    <t>Distributed Training Concepts</t>
  </si>
  <si>
    <t>10.3 Deep Framework Proficiency</t>
  </si>
  <si>
    <t>10.3.1</t>
  </si>
  <si>
    <t>PyTorch</t>
  </si>
  <si>
    <t>10.3.2</t>
  </si>
  <si>
    <t>TensorFlow/Keras</t>
  </si>
  <si>
    <t>Project</t>
  </si>
  <si>
    <t>Project 1</t>
  </si>
  <si>
    <t>P1</t>
  </si>
  <si>
    <t>Causal Uplift Modeling</t>
  </si>
  <si>
    <t>-</t>
  </si>
  <si>
    <t>P</t>
  </si>
  <si>
    <t>Project 2</t>
  </si>
  <si>
    <t>P2</t>
  </si>
  <si>
    <t>TBD (Choose at Week 16)</t>
  </si>
  <si>
    <t>Mock</t>
  </si>
  <si>
    <t>Mock Interview</t>
  </si>
  <si>
    <t>M1</t>
  </si>
  <si>
    <t>#1 Stats + ML Fundamentals</t>
  </si>
  <si>
    <t>M</t>
  </si>
  <si>
    <t>M2</t>
  </si>
  <si>
    <t>#2 Causal Deep Dive</t>
  </si>
  <si>
    <t>M3</t>
  </si>
  <si>
    <t>#3 Full Causal + ML</t>
  </si>
  <si>
    <t>M4</t>
  </si>
  <si>
    <t>#4 GenAI + System</t>
  </si>
  <si>
    <t>M5-8</t>
  </si>
  <si>
    <t>#5-8 Weekly Mocks</t>
  </si>
  <si>
    <t>Review</t>
  </si>
  <si>
    <t>Final Review</t>
  </si>
  <si>
    <t>R1</t>
  </si>
  <si>
    <t>Full Review Week</t>
  </si>
  <si>
    <t>DSA</t>
  </si>
  <si>
    <t>Daily Practice</t>
  </si>
  <si>
    <t>30min daily throughout</t>
  </si>
  <si>
    <t>Activity Codes</t>
  </si>
  <si>
    <t>Study</t>
  </si>
  <si>
    <t>Green</t>
  </si>
  <si>
    <t>Blue</t>
  </si>
  <si>
    <t>Orange</t>
  </si>
  <si>
    <t>Purple</t>
  </si>
  <si>
    <t>Priority Colors</t>
  </si>
  <si>
    <t>Critical</t>
  </si>
  <si>
    <t>Red</t>
  </si>
  <si>
    <t>High</t>
  </si>
  <si>
    <t>Medium</t>
  </si>
  <si>
    <t>Yellow</t>
  </si>
  <si>
    <t>Low</t>
  </si>
  <si>
    <t>Optional</t>
  </si>
  <si>
    <t>Gray</t>
  </si>
  <si>
    <t>Study Agenda Summary</t>
  </si>
  <si>
    <t>Total Subsections</t>
  </si>
  <si>
    <t>Total Estimated Hours (topics)</t>
  </si>
  <si>
    <t>Project Hours</t>
  </si>
  <si>
    <t>DSA Hours</t>
  </si>
  <si>
    <t>Mock Interview Hours</t>
  </si>
  <si>
    <t>Review Hours</t>
  </si>
  <si>
    <t>Grand Total</t>
  </si>
  <si>
    <t>Timeline</t>
  </si>
  <si>
    <t>28 weeks</t>
  </si>
  <si>
    <t>Weekly Hours</t>
  </si>
  <si>
    <t>20h</t>
  </si>
  <si>
    <t>Sections by Count</t>
  </si>
  <si>
    <t>Section 1: Causal Inference (Primary Spike)</t>
  </si>
  <si>
    <t>Section 2: Probability &amp; Statistics Foundations</t>
  </si>
  <si>
    <t>Section 3: ML/DL Fundamentals</t>
  </si>
  <si>
    <t>Section 4: Time Series &amp; Forecasting</t>
  </si>
  <si>
    <t>Section 5: NLP, RAG &amp; Agentic AI</t>
  </si>
  <si>
    <t>Section 6: ML System Design</t>
  </si>
  <si>
    <t>Section 7: Coding &amp; Algorithms</t>
  </si>
  <si>
    <t>Section 8: Product Sense &amp; Communication</t>
  </si>
  <si>
    <t>Section 9: Breadth Topics (Low Priority)</t>
  </si>
  <si>
    <t>Section 10: Optional Topics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</si>
</sst>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12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6B6B"/>
        <bgColor rgb="FFFF6B6B"/>
      </patternFill>
    </fill>
    <fill>
      <patternFill patternType="solid">
        <fgColor rgb="FF92D050"/>
        <bgColor rgb="FF92D050"/>
      </patternFill>
    </fill>
    <fill>
      <patternFill patternType="solid">
        <fgColor rgb="FFFFA500"/>
        <bgColor rgb="FFFFA500"/>
      </patternFill>
    </fill>
    <fill>
      <patternFill patternType="solid">
        <fgColor rgb="FFFFD93D"/>
        <bgColor rgb="FFFFD93D"/>
      </patternFill>
    </fill>
    <fill>
      <patternFill patternType="solid">
        <fgColor rgb="FF6BCB77"/>
        <bgColor rgb="FF6BCB77"/>
      </patternFill>
    </fill>
    <fill>
      <patternFill patternType="solid">
        <fgColor rgb="FF00B0F0"/>
        <bgColor rgb="FF00B0F0"/>
      </patternFill>
    </fill>
    <fill>
      <patternFill patternType="solid">
        <fgColor rgb="FFCCCCCC"/>
        <bgColor rgb="FFCCCCCC"/>
      </patternFill>
    </fill>
    <fill>
      <patternFill patternType="solid">
        <fgColor rgb="FFFFC000"/>
        <bgColor rgb="FFFFC000"/>
      </patternFill>
    </fill>
    <fill>
      <patternFill patternType="solid">
        <fgColor rgb="FF7030A0"/>
        <bgColor rgb="FF7030A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0" fillId="0" borderId="1" xfId="0" applyBorder="1"/>
    <xf numFmtId="0" fontId="0" fillId="3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1" fillId="8" borderId="1" xfId="0" applyFont="1" applyFill="1" applyBorder="1" applyAlignment="1">
      <alignment horizontal="center"/>
    </xf>
    <xf numFmtId="0" fontId="0" fillId="9" borderId="1" xfId="0" applyFill="1" applyBorder="1" applyAlignment="1">
      <alignment horizontal="center"/>
    </xf>
    <xf numFmtId="0" fontId="1" fillId="10" borderId="1" xfId="0" applyFont="1" applyFill="1" applyBorder="1" applyAlignment="1">
      <alignment horizontal="center"/>
    </xf>
    <xf numFmtId="0" fontId="1" fillId="11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131"/>
  <sheetViews>
    <sheetView zoomScale="50" zoomScaleNormal="50" workbookViewId="0">
      <pane xSplit="8" ySplit="1" topLeftCell="I5" activePane="bottomRight" state="frozen"/>
      <selection pane="topRight"/>
      <selection pane="bottomLeft"/>
      <selection pane="bottomRight" activeCell="J24" sqref="J24"/>
    </sheetView>
  </sheetViews>
  <sheetFormatPr defaultRowHeight="14.35" x14ac:dyDescent="0.5"/>
  <cols>
    <col min="1" max="1" width="22" customWidth="1"/>
    <col min="2" max="2" width="25" customWidth="1"/>
    <col min="3" max="3" width="8" customWidth="1"/>
    <col min="4" max="4" width="40" customWidth="1"/>
    <col min="5" max="5" width="10" customWidth="1"/>
    <col min="6" max="6" width="8" customWidth="1"/>
    <col min="7" max="7" width="10" customWidth="1"/>
    <col min="8" max="8" width="20" customWidth="1"/>
    <col min="9" max="36" width="4" customWidth="1"/>
  </cols>
  <sheetData>
    <row r="1" spans="1:36" ht="28.7" x14ac:dyDescent="0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 x14ac:dyDescent="0.5">
      <c r="A2" s="2" t="s">
        <v>36</v>
      </c>
      <c r="B2" s="2" t="s">
        <v>37</v>
      </c>
      <c r="C2" s="2" t="s">
        <v>38</v>
      </c>
      <c r="D2" s="2" t="s">
        <v>39</v>
      </c>
      <c r="E2" s="3" t="s">
        <v>40</v>
      </c>
      <c r="F2" s="4">
        <v>6</v>
      </c>
      <c r="G2" s="4" t="s">
        <v>41</v>
      </c>
      <c r="H2" s="2"/>
      <c r="I2" s="2"/>
      <c r="J2" s="2"/>
      <c r="K2" s="2"/>
      <c r="L2" s="2"/>
      <c r="M2" s="2"/>
      <c r="N2" s="2"/>
      <c r="O2" s="2"/>
      <c r="P2" s="5" t="s">
        <v>42</v>
      </c>
      <c r="Q2" s="5" t="s">
        <v>42</v>
      </c>
      <c r="R2" s="5" t="s">
        <v>42</v>
      </c>
      <c r="S2" s="5" t="s">
        <v>42</v>
      </c>
      <c r="T2" s="5" t="s">
        <v>42</v>
      </c>
      <c r="U2" s="5" t="s">
        <v>42</v>
      </c>
      <c r="V2" s="2"/>
      <c r="W2" s="2"/>
      <c r="X2" s="2"/>
      <c r="Y2" s="2"/>
      <c r="Z2" s="5" t="s">
        <v>42</v>
      </c>
      <c r="AA2" s="2"/>
      <c r="AB2" s="2"/>
      <c r="AC2" s="2"/>
      <c r="AD2" s="2"/>
      <c r="AE2" s="2"/>
      <c r="AF2" s="2"/>
      <c r="AG2" s="2"/>
      <c r="AH2" s="2"/>
      <c r="AI2" s="2"/>
      <c r="AJ2" s="2"/>
    </row>
    <row r="3" spans="1:36" x14ac:dyDescent="0.5">
      <c r="A3" s="2"/>
      <c r="B3" s="2" t="s">
        <v>37</v>
      </c>
      <c r="C3" s="2" t="s">
        <v>43</v>
      </c>
      <c r="D3" s="2" t="s">
        <v>44</v>
      </c>
      <c r="E3" s="3" t="s">
        <v>40</v>
      </c>
      <c r="F3" s="4">
        <v>6</v>
      </c>
      <c r="G3" s="4" t="s">
        <v>41</v>
      </c>
      <c r="H3" s="2"/>
      <c r="I3" s="2"/>
      <c r="J3" s="2"/>
      <c r="K3" s="2"/>
      <c r="L3" s="2"/>
      <c r="M3" s="2"/>
      <c r="N3" s="2"/>
      <c r="O3" s="2"/>
      <c r="P3" s="5" t="s">
        <v>42</v>
      </c>
      <c r="Q3" s="5" t="s">
        <v>42</v>
      </c>
      <c r="R3" s="5" t="s">
        <v>42</v>
      </c>
      <c r="S3" s="5" t="s">
        <v>42</v>
      </c>
      <c r="T3" s="5" t="s">
        <v>42</v>
      </c>
      <c r="U3" s="5" t="s">
        <v>42</v>
      </c>
      <c r="V3" s="2"/>
      <c r="W3" s="2"/>
      <c r="X3" s="2"/>
      <c r="Y3" s="2"/>
      <c r="Z3" s="5" t="s">
        <v>42</v>
      </c>
      <c r="AA3" s="2"/>
      <c r="AB3" s="2"/>
      <c r="AC3" s="2"/>
      <c r="AD3" s="2"/>
      <c r="AE3" s="2"/>
      <c r="AF3" s="2"/>
      <c r="AG3" s="2"/>
      <c r="AH3" s="2"/>
      <c r="AI3" s="2"/>
      <c r="AJ3" s="2"/>
    </row>
    <row r="4" spans="1:36" x14ac:dyDescent="0.5">
      <c r="A4" s="2"/>
      <c r="B4" s="2" t="s">
        <v>37</v>
      </c>
      <c r="C4" s="2" t="s">
        <v>45</v>
      </c>
      <c r="D4" s="2" t="s">
        <v>46</v>
      </c>
      <c r="E4" s="3" t="s">
        <v>40</v>
      </c>
      <c r="F4" s="4">
        <v>6</v>
      </c>
      <c r="G4" s="4" t="s">
        <v>41</v>
      </c>
      <c r="H4" s="2"/>
      <c r="I4" s="2"/>
      <c r="J4" s="2"/>
      <c r="K4" s="2"/>
      <c r="L4" s="2"/>
      <c r="M4" s="2"/>
      <c r="N4" s="2"/>
      <c r="O4" s="2"/>
      <c r="P4" s="5" t="s">
        <v>42</v>
      </c>
      <c r="Q4" s="5" t="s">
        <v>42</v>
      </c>
      <c r="R4" s="5" t="s">
        <v>42</v>
      </c>
      <c r="S4" s="5" t="s">
        <v>42</v>
      </c>
      <c r="T4" s="5" t="s">
        <v>42</v>
      </c>
      <c r="U4" s="5" t="s">
        <v>42</v>
      </c>
      <c r="V4" s="2"/>
      <c r="W4" s="2"/>
      <c r="X4" s="2"/>
      <c r="Y4" s="2"/>
      <c r="Z4" s="5" t="s">
        <v>42</v>
      </c>
      <c r="AA4" s="2"/>
      <c r="AB4" s="2"/>
      <c r="AC4" s="2"/>
      <c r="AD4" s="2"/>
      <c r="AE4" s="2"/>
      <c r="AF4" s="2"/>
      <c r="AG4" s="2"/>
      <c r="AH4" s="2"/>
      <c r="AI4" s="2"/>
      <c r="AJ4" s="2"/>
    </row>
    <row r="5" spans="1:36" x14ac:dyDescent="0.5">
      <c r="A5" s="2"/>
      <c r="B5" s="2" t="s">
        <v>47</v>
      </c>
      <c r="C5" s="2" t="s">
        <v>48</v>
      </c>
      <c r="D5" s="2" t="s">
        <v>49</v>
      </c>
      <c r="E5" s="3" t="s">
        <v>40</v>
      </c>
      <c r="F5" s="4">
        <v>6</v>
      </c>
      <c r="G5" s="4" t="s">
        <v>41</v>
      </c>
      <c r="H5" s="2"/>
      <c r="I5" s="2"/>
      <c r="J5" s="2"/>
      <c r="K5" s="2"/>
      <c r="L5" s="2"/>
      <c r="M5" s="2"/>
      <c r="N5" s="2"/>
      <c r="O5" s="2"/>
      <c r="P5" s="5" t="s">
        <v>42</v>
      </c>
      <c r="Q5" s="5" t="s">
        <v>42</v>
      </c>
      <c r="R5" s="5" t="s">
        <v>42</v>
      </c>
      <c r="S5" s="5" t="s">
        <v>42</v>
      </c>
      <c r="T5" s="5" t="s">
        <v>42</v>
      </c>
      <c r="U5" s="5" t="s">
        <v>42</v>
      </c>
      <c r="V5" s="2"/>
      <c r="W5" s="2"/>
      <c r="X5" s="2"/>
      <c r="Y5" s="2"/>
      <c r="Z5" s="5" t="s">
        <v>42</v>
      </c>
      <c r="AA5" s="2"/>
      <c r="AB5" s="2"/>
      <c r="AC5" s="2"/>
      <c r="AD5" s="2"/>
      <c r="AE5" s="2"/>
      <c r="AF5" s="2"/>
      <c r="AG5" s="2"/>
      <c r="AH5" s="2"/>
      <c r="AI5" s="2"/>
      <c r="AJ5" s="2"/>
    </row>
    <row r="6" spans="1:36" x14ac:dyDescent="0.5">
      <c r="A6" s="2"/>
      <c r="B6" s="2" t="s">
        <v>47</v>
      </c>
      <c r="C6" s="2" t="s">
        <v>50</v>
      </c>
      <c r="D6" s="2" t="s">
        <v>51</v>
      </c>
      <c r="E6" s="3" t="s">
        <v>40</v>
      </c>
      <c r="F6" s="4">
        <v>6</v>
      </c>
      <c r="G6" s="4" t="s">
        <v>41</v>
      </c>
      <c r="H6" s="2"/>
      <c r="I6" s="2"/>
      <c r="J6" s="2"/>
      <c r="K6" s="2"/>
      <c r="L6" s="2"/>
      <c r="M6" s="2"/>
      <c r="N6" s="2"/>
      <c r="O6" s="2"/>
      <c r="P6" s="5" t="s">
        <v>42</v>
      </c>
      <c r="Q6" s="5" t="s">
        <v>42</v>
      </c>
      <c r="R6" s="5" t="s">
        <v>42</v>
      </c>
      <c r="S6" s="5" t="s">
        <v>42</v>
      </c>
      <c r="T6" s="5" t="s">
        <v>42</v>
      </c>
      <c r="U6" s="5" t="s">
        <v>42</v>
      </c>
      <c r="V6" s="2"/>
      <c r="W6" s="2"/>
      <c r="X6" s="2"/>
      <c r="Y6" s="2"/>
      <c r="Z6" s="5" t="s">
        <v>42</v>
      </c>
      <c r="AA6" s="2"/>
      <c r="AB6" s="2"/>
      <c r="AC6" s="2"/>
      <c r="AD6" s="2"/>
      <c r="AE6" s="2"/>
      <c r="AF6" s="2"/>
      <c r="AG6" s="2"/>
      <c r="AH6" s="2"/>
      <c r="AI6" s="2"/>
      <c r="AJ6" s="2"/>
    </row>
    <row r="7" spans="1:36" x14ac:dyDescent="0.5">
      <c r="A7" s="2"/>
      <c r="B7" s="2" t="s">
        <v>47</v>
      </c>
      <c r="C7" s="2" t="s">
        <v>52</v>
      </c>
      <c r="D7" s="2" t="s">
        <v>53</v>
      </c>
      <c r="E7" s="6" t="s">
        <v>54</v>
      </c>
      <c r="F7" s="4">
        <v>4</v>
      </c>
      <c r="G7" s="4" t="s">
        <v>41</v>
      </c>
      <c r="H7" s="2"/>
      <c r="I7" s="2"/>
      <c r="J7" s="2"/>
      <c r="K7" s="2"/>
      <c r="L7" s="2"/>
      <c r="M7" s="2"/>
      <c r="N7" s="2"/>
      <c r="O7" s="2"/>
      <c r="P7" s="5" t="s">
        <v>42</v>
      </c>
      <c r="Q7" s="5" t="s">
        <v>42</v>
      </c>
      <c r="R7" s="5" t="s">
        <v>42</v>
      </c>
      <c r="S7" s="5" t="s">
        <v>42</v>
      </c>
      <c r="T7" s="5" t="s">
        <v>42</v>
      </c>
      <c r="U7" s="5" t="s">
        <v>42</v>
      </c>
      <c r="V7" s="2"/>
      <c r="W7" s="2"/>
      <c r="X7" s="2"/>
      <c r="Y7" s="2"/>
      <c r="Z7" s="5" t="s">
        <v>42</v>
      </c>
      <c r="AA7" s="2"/>
      <c r="AB7" s="2"/>
      <c r="AC7" s="2"/>
      <c r="AD7" s="2"/>
      <c r="AE7" s="2"/>
      <c r="AF7" s="2"/>
      <c r="AG7" s="2"/>
      <c r="AH7" s="2"/>
      <c r="AI7" s="2"/>
      <c r="AJ7" s="2"/>
    </row>
    <row r="8" spans="1:36" x14ac:dyDescent="0.5">
      <c r="A8" s="2"/>
      <c r="B8" s="2" t="s">
        <v>47</v>
      </c>
      <c r="C8" s="2" t="s">
        <v>55</v>
      </c>
      <c r="D8" s="2" t="s">
        <v>56</v>
      </c>
      <c r="E8" s="3" t="s">
        <v>40</v>
      </c>
      <c r="F8" s="4">
        <v>6</v>
      </c>
      <c r="G8" s="4" t="s">
        <v>41</v>
      </c>
      <c r="H8" s="2"/>
      <c r="I8" s="2"/>
      <c r="J8" s="2"/>
      <c r="K8" s="2"/>
      <c r="L8" s="2"/>
      <c r="M8" s="2"/>
      <c r="N8" s="2"/>
      <c r="O8" s="2"/>
      <c r="P8" s="5" t="s">
        <v>42</v>
      </c>
      <c r="Q8" s="5" t="s">
        <v>42</v>
      </c>
      <c r="R8" s="5" t="s">
        <v>42</v>
      </c>
      <c r="S8" s="5" t="s">
        <v>42</v>
      </c>
      <c r="T8" s="5" t="s">
        <v>42</v>
      </c>
      <c r="U8" s="5" t="s">
        <v>42</v>
      </c>
      <c r="V8" s="2"/>
      <c r="W8" s="2"/>
      <c r="X8" s="2"/>
      <c r="Y8" s="2"/>
      <c r="Z8" s="5" t="s">
        <v>42</v>
      </c>
      <c r="AA8" s="2"/>
      <c r="AB8" s="2"/>
      <c r="AC8" s="2"/>
      <c r="AD8" s="2"/>
      <c r="AE8" s="2"/>
      <c r="AF8" s="2"/>
      <c r="AG8" s="2"/>
      <c r="AH8" s="2"/>
      <c r="AI8" s="2"/>
      <c r="AJ8" s="2"/>
    </row>
    <row r="9" spans="1:36" x14ac:dyDescent="0.5">
      <c r="A9" s="2"/>
      <c r="B9" s="2" t="s">
        <v>47</v>
      </c>
      <c r="C9" s="2" t="s">
        <v>57</v>
      </c>
      <c r="D9" s="2" t="s">
        <v>58</v>
      </c>
      <c r="E9" s="3" t="s">
        <v>40</v>
      </c>
      <c r="F9" s="4">
        <v>6</v>
      </c>
      <c r="G9" s="4" t="s">
        <v>41</v>
      </c>
      <c r="H9" s="2"/>
      <c r="I9" s="2"/>
      <c r="J9" s="2"/>
      <c r="K9" s="2"/>
      <c r="L9" s="2"/>
      <c r="M9" s="2"/>
      <c r="N9" s="2"/>
      <c r="O9" s="2"/>
      <c r="P9" s="5" t="s">
        <v>42</v>
      </c>
      <c r="Q9" s="5" t="s">
        <v>42</v>
      </c>
      <c r="R9" s="5" t="s">
        <v>42</v>
      </c>
      <c r="S9" s="5" t="s">
        <v>42</v>
      </c>
      <c r="T9" s="5" t="s">
        <v>42</v>
      </c>
      <c r="U9" s="5" t="s">
        <v>42</v>
      </c>
      <c r="V9" s="2"/>
      <c r="W9" s="2"/>
      <c r="X9" s="2"/>
      <c r="Y9" s="2"/>
      <c r="Z9" s="5" t="s">
        <v>42</v>
      </c>
      <c r="AA9" s="2"/>
      <c r="AB9" s="2"/>
      <c r="AC9" s="2"/>
      <c r="AD9" s="2"/>
      <c r="AE9" s="2"/>
      <c r="AF9" s="2"/>
      <c r="AG9" s="2"/>
      <c r="AH9" s="2"/>
      <c r="AI9" s="2"/>
      <c r="AJ9" s="2"/>
    </row>
    <row r="10" spans="1:36" x14ac:dyDescent="0.5">
      <c r="A10" s="2"/>
      <c r="B10" s="2" t="s">
        <v>47</v>
      </c>
      <c r="C10" s="2" t="s">
        <v>59</v>
      </c>
      <c r="D10" s="2" t="s">
        <v>60</v>
      </c>
      <c r="E10" s="3" t="s">
        <v>40</v>
      </c>
      <c r="F10" s="4">
        <v>6</v>
      </c>
      <c r="G10" s="4" t="s">
        <v>41</v>
      </c>
      <c r="H10" s="2"/>
      <c r="I10" s="2"/>
      <c r="J10" s="2"/>
      <c r="K10" s="2"/>
      <c r="L10" s="2"/>
      <c r="M10" s="2"/>
      <c r="N10" s="2"/>
      <c r="O10" s="2"/>
      <c r="P10" s="5" t="s">
        <v>42</v>
      </c>
      <c r="Q10" s="5" t="s">
        <v>42</v>
      </c>
      <c r="R10" s="5" t="s">
        <v>42</v>
      </c>
      <c r="S10" s="5" t="s">
        <v>42</v>
      </c>
      <c r="T10" s="5" t="s">
        <v>42</v>
      </c>
      <c r="U10" s="5" t="s">
        <v>42</v>
      </c>
      <c r="V10" s="2"/>
      <c r="W10" s="2"/>
      <c r="X10" s="2"/>
      <c r="Y10" s="2"/>
      <c r="Z10" s="5" t="s">
        <v>42</v>
      </c>
      <c r="AA10" s="2"/>
      <c r="AB10" s="2"/>
      <c r="AC10" s="2"/>
      <c r="AD10" s="2"/>
      <c r="AE10" s="2"/>
      <c r="AF10" s="2"/>
      <c r="AG10" s="2"/>
      <c r="AH10" s="2"/>
      <c r="AI10" s="2"/>
      <c r="AJ10" s="2"/>
    </row>
    <row r="11" spans="1:36" x14ac:dyDescent="0.5">
      <c r="A11" s="2"/>
      <c r="B11" s="2" t="s">
        <v>47</v>
      </c>
      <c r="C11" s="2" t="s">
        <v>61</v>
      </c>
      <c r="D11" s="2" t="s">
        <v>62</v>
      </c>
      <c r="E11" s="6" t="s">
        <v>54</v>
      </c>
      <c r="F11" s="4">
        <v>4</v>
      </c>
      <c r="G11" s="4" t="s">
        <v>41</v>
      </c>
      <c r="H11" s="2"/>
      <c r="I11" s="2"/>
      <c r="J11" s="2"/>
      <c r="K11" s="2"/>
      <c r="L11" s="2"/>
      <c r="M11" s="2"/>
      <c r="N11" s="2"/>
      <c r="O11" s="2"/>
      <c r="P11" s="5" t="s">
        <v>42</v>
      </c>
      <c r="Q11" s="5" t="s">
        <v>42</v>
      </c>
      <c r="R11" s="5" t="s">
        <v>42</v>
      </c>
      <c r="S11" s="5" t="s">
        <v>42</v>
      </c>
      <c r="T11" s="5" t="s">
        <v>42</v>
      </c>
      <c r="U11" s="5" t="s">
        <v>42</v>
      </c>
      <c r="V11" s="2"/>
      <c r="W11" s="2"/>
      <c r="X11" s="2"/>
      <c r="Y11" s="2"/>
      <c r="Z11" s="5" t="s">
        <v>42</v>
      </c>
      <c r="AA11" s="2"/>
      <c r="AB11" s="2"/>
      <c r="AC11" s="2"/>
      <c r="AD11" s="2"/>
      <c r="AE11" s="2"/>
      <c r="AF11" s="2"/>
      <c r="AG11" s="2"/>
      <c r="AH11" s="2"/>
      <c r="AI11" s="2"/>
      <c r="AJ11" s="2"/>
    </row>
    <row r="12" spans="1:36" x14ac:dyDescent="0.5">
      <c r="A12" s="2"/>
      <c r="B12" s="2" t="s">
        <v>63</v>
      </c>
      <c r="C12" s="2" t="s">
        <v>64</v>
      </c>
      <c r="D12" s="2" t="s">
        <v>65</v>
      </c>
      <c r="E12" s="6" t="s">
        <v>54</v>
      </c>
      <c r="F12" s="4">
        <v>4</v>
      </c>
      <c r="G12" s="4" t="s">
        <v>41</v>
      </c>
      <c r="H12" s="2"/>
      <c r="I12" s="2"/>
      <c r="J12" s="2"/>
      <c r="K12" s="2"/>
      <c r="L12" s="2"/>
      <c r="M12" s="2"/>
      <c r="N12" s="2"/>
      <c r="O12" s="2"/>
      <c r="P12" s="5" t="s">
        <v>42</v>
      </c>
      <c r="Q12" s="5" t="s">
        <v>42</v>
      </c>
      <c r="R12" s="5" t="s">
        <v>42</v>
      </c>
      <c r="S12" s="5" t="s">
        <v>42</v>
      </c>
      <c r="T12" s="5" t="s">
        <v>42</v>
      </c>
      <c r="U12" s="5" t="s">
        <v>42</v>
      </c>
      <c r="V12" s="2"/>
      <c r="W12" s="2"/>
      <c r="X12" s="2"/>
      <c r="Y12" s="2"/>
      <c r="Z12" s="5" t="s">
        <v>42</v>
      </c>
      <c r="AA12" s="2"/>
      <c r="AB12" s="2"/>
      <c r="AC12" s="2"/>
      <c r="AD12" s="2"/>
      <c r="AE12" s="2"/>
      <c r="AF12" s="2"/>
      <c r="AG12" s="2"/>
      <c r="AH12" s="2"/>
      <c r="AI12" s="2"/>
      <c r="AJ12" s="2"/>
    </row>
    <row r="13" spans="1:36" x14ac:dyDescent="0.5">
      <c r="A13" s="2"/>
      <c r="B13" s="2" t="s">
        <v>63</v>
      </c>
      <c r="C13" s="2" t="s">
        <v>66</v>
      </c>
      <c r="D13" s="2" t="s">
        <v>67</v>
      </c>
      <c r="E13" s="6" t="s">
        <v>54</v>
      </c>
      <c r="F13" s="4">
        <v>4</v>
      </c>
      <c r="G13" s="4" t="s">
        <v>41</v>
      </c>
      <c r="H13" s="2"/>
      <c r="I13" s="2"/>
      <c r="J13" s="2"/>
      <c r="K13" s="2"/>
      <c r="L13" s="2"/>
      <c r="M13" s="2"/>
      <c r="N13" s="2"/>
      <c r="O13" s="2"/>
      <c r="P13" s="5" t="s">
        <v>42</v>
      </c>
      <c r="Q13" s="5" t="s">
        <v>42</v>
      </c>
      <c r="R13" s="5" t="s">
        <v>42</v>
      </c>
      <c r="S13" s="5" t="s">
        <v>42</v>
      </c>
      <c r="T13" s="5" t="s">
        <v>42</v>
      </c>
      <c r="U13" s="5" t="s">
        <v>42</v>
      </c>
      <c r="V13" s="2"/>
      <c r="W13" s="2"/>
      <c r="X13" s="2"/>
      <c r="Y13" s="2"/>
      <c r="Z13" s="5" t="s">
        <v>42</v>
      </c>
      <c r="AA13" s="2"/>
      <c r="AB13" s="2"/>
      <c r="AC13" s="2"/>
      <c r="AD13" s="2"/>
      <c r="AE13" s="2"/>
      <c r="AF13" s="2"/>
      <c r="AG13" s="2"/>
      <c r="AH13" s="2"/>
      <c r="AI13" s="2"/>
      <c r="AJ13" s="2"/>
    </row>
    <row r="14" spans="1:36" x14ac:dyDescent="0.5">
      <c r="A14" s="2"/>
      <c r="B14" s="2" t="s">
        <v>63</v>
      </c>
      <c r="C14" s="2" t="s">
        <v>68</v>
      </c>
      <c r="D14" s="2" t="s">
        <v>69</v>
      </c>
      <c r="E14" s="6" t="s">
        <v>54</v>
      </c>
      <c r="F14" s="4">
        <v>4</v>
      </c>
      <c r="G14" s="4" t="s">
        <v>41</v>
      </c>
      <c r="H14" s="2"/>
      <c r="I14" s="2"/>
      <c r="J14" s="2"/>
      <c r="K14" s="2"/>
      <c r="L14" s="2"/>
      <c r="M14" s="2"/>
      <c r="N14" s="2"/>
      <c r="O14" s="2"/>
      <c r="P14" s="5" t="s">
        <v>42</v>
      </c>
      <c r="Q14" s="5" t="s">
        <v>42</v>
      </c>
      <c r="R14" s="5" t="s">
        <v>42</v>
      </c>
      <c r="S14" s="5" t="s">
        <v>42</v>
      </c>
      <c r="T14" s="5" t="s">
        <v>42</v>
      </c>
      <c r="U14" s="5" t="s">
        <v>42</v>
      </c>
      <c r="V14" s="2"/>
      <c r="W14" s="2"/>
      <c r="X14" s="2"/>
      <c r="Y14" s="2"/>
      <c r="Z14" s="5" t="s">
        <v>42</v>
      </c>
      <c r="AA14" s="2"/>
      <c r="AB14" s="2"/>
      <c r="AC14" s="2"/>
      <c r="AD14" s="2"/>
      <c r="AE14" s="2"/>
      <c r="AF14" s="2"/>
      <c r="AG14" s="2"/>
      <c r="AH14" s="2"/>
      <c r="AI14" s="2"/>
      <c r="AJ14" s="2"/>
    </row>
    <row r="15" spans="1:36" x14ac:dyDescent="0.5">
      <c r="A15" s="2"/>
      <c r="B15" s="2" t="s">
        <v>70</v>
      </c>
      <c r="C15" s="2" t="s">
        <v>71</v>
      </c>
      <c r="D15" s="2" t="s">
        <v>72</v>
      </c>
      <c r="E15" s="6" t="s">
        <v>54</v>
      </c>
      <c r="F15" s="4">
        <v>4</v>
      </c>
      <c r="G15" s="4" t="s">
        <v>41</v>
      </c>
      <c r="H15" s="2"/>
      <c r="I15" s="2"/>
      <c r="J15" s="2"/>
      <c r="K15" s="2"/>
      <c r="L15" s="2"/>
      <c r="M15" s="2"/>
      <c r="N15" s="2"/>
      <c r="O15" s="2"/>
      <c r="P15" s="5" t="s">
        <v>42</v>
      </c>
      <c r="Q15" s="5" t="s">
        <v>42</v>
      </c>
      <c r="R15" s="5" t="s">
        <v>42</v>
      </c>
      <c r="S15" s="5" t="s">
        <v>42</v>
      </c>
      <c r="T15" s="5" t="s">
        <v>42</v>
      </c>
      <c r="U15" s="5" t="s">
        <v>42</v>
      </c>
      <c r="V15" s="2"/>
      <c r="W15" s="2"/>
      <c r="X15" s="2"/>
      <c r="Y15" s="2"/>
      <c r="Z15" s="5" t="s">
        <v>42</v>
      </c>
      <c r="AA15" s="2"/>
      <c r="AB15" s="2"/>
      <c r="AC15" s="2"/>
      <c r="AD15" s="2"/>
      <c r="AE15" s="2"/>
      <c r="AF15" s="2"/>
      <c r="AG15" s="2"/>
      <c r="AH15" s="2"/>
      <c r="AI15" s="2"/>
      <c r="AJ15" s="2"/>
    </row>
    <row r="16" spans="1:36" x14ac:dyDescent="0.5">
      <c r="A16" s="2"/>
      <c r="B16" s="2" t="s">
        <v>70</v>
      </c>
      <c r="C16" s="2" t="s">
        <v>73</v>
      </c>
      <c r="D16" s="2" t="s">
        <v>74</v>
      </c>
      <c r="E16" s="6" t="s">
        <v>54</v>
      </c>
      <c r="F16" s="4">
        <v>4</v>
      </c>
      <c r="G16" s="4" t="s">
        <v>41</v>
      </c>
      <c r="H16" s="2"/>
      <c r="I16" s="2"/>
      <c r="J16" s="2"/>
      <c r="K16" s="2"/>
      <c r="L16" s="2"/>
      <c r="M16" s="2"/>
      <c r="N16" s="2"/>
      <c r="O16" s="2"/>
      <c r="P16" s="5" t="s">
        <v>42</v>
      </c>
      <c r="Q16" s="5" t="s">
        <v>42</v>
      </c>
      <c r="R16" s="5" t="s">
        <v>42</v>
      </c>
      <c r="S16" s="5" t="s">
        <v>42</v>
      </c>
      <c r="T16" s="5" t="s">
        <v>42</v>
      </c>
      <c r="U16" s="5" t="s">
        <v>42</v>
      </c>
      <c r="V16" s="2"/>
      <c r="W16" s="2"/>
      <c r="X16" s="2"/>
      <c r="Y16" s="2"/>
      <c r="Z16" s="5" t="s">
        <v>42</v>
      </c>
      <c r="AA16" s="2"/>
      <c r="AB16" s="2"/>
      <c r="AC16" s="2"/>
      <c r="AD16" s="2"/>
      <c r="AE16" s="2"/>
      <c r="AF16" s="2"/>
      <c r="AG16" s="2"/>
      <c r="AH16" s="2"/>
      <c r="AI16" s="2"/>
      <c r="AJ16" s="2"/>
    </row>
    <row r="17" spans="1:36" x14ac:dyDescent="0.5">
      <c r="A17" s="2"/>
      <c r="B17" s="2" t="s">
        <v>70</v>
      </c>
      <c r="C17" s="2" t="s">
        <v>75</v>
      </c>
      <c r="D17" s="2" t="s">
        <v>76</v>
      </c>
      <c r="E17" s="7" t="s">
        <v>77</v>
      </c>
      <c r="F17" s="4">
        <v>3</v>
      </c>
      <c r="G17" s="4" t="s">
        <v>41</v>
      </c>
      <c r="H17" s="2"/>
      <c r="I17" s="2"/>
      <c r="J17" s="2"/>
      <c r="K17" s="2"/>
      <c r="L17" s="2"/>
      <c r="M17" s="2"/>
      <c r="N17" s="2"/>
      <c r="O17" s="2"/>
      <c r="P17" s="5" t="s">
        <v>42</v>
      </c>
      <c r="Q17" s="5" t="s">
        <v>42</v>
      </c>
      <c r="R17" s="5" t="s">
        <v>42</v>
      </c>
      <c r="S17" s="5" t="s">
        <v>42</v>
      </c>
      <c r="T17" s="5" t="s">
        <v>42</v>
      </c>
      <c r="U17" s="5" t="s">
        <v>42</v>
      </c>
      <c r="V17" s="2"/>
      <c r="W17" s="2"/>
      <c r="X17" s="2"/>
      <c r="Y17" s="2"/>
      <c r="Z17" s="5" t="s">
        <v>42</v>
      </c>
      <c r="AA17" s="2"/>
      <c r="AB17" s="2"/>
      <c r="AC17" s="2"/>
      <c r="AD17" s="2"/>
      <c r="AE17" s="2"/>
      <c r="AF17" s="2"/>
      <c r="AG17" s="2"/>
      <c r="AH17" s="2"/>
      <c r="AI17" s="2"/>
      <c r="AJ17" s="2"/>
    </row>
    <row r="18" spans="1:36" x14ac:dyDescent="0.5">
      <c r="A18" s="2"/>
      <c r="B18" s="2" t="s">
        <v>78</v>
      </c>
      <c r="C18" s="2" t="s">
        <v>79</v>
      </c>
      <c r="D18" s="2" t="s">
        <v>80</v>
      </c>
      <c r="E18" s="6" t="s">
        <v>54</v>
      </c>
      <c r="F18" s="4">
        <v>4</v>
      </c>
      <c r="G18" s="4" t="s">
        <v>41</v>
      </c>
      <c r="H18" s="2"/>
      <c r="I18" s="2"/>
      <c r="J18" s="2"/>
      <c r="K18" s="2"/>
      <c r="L18" s="2"/>
      <c r="M18" s="2"/>
      <c r="N18" s="2"/>
      <c r="O18" s="2"/>
      <c r="P18" s="5" t="s">
        <v>42</v>
      </c>
      <c r="Q18" s="5" t="s">
        <v>42</v>
      </c>
      <c r="R18" s="5" t="s">
        <v>42</v>
      </c>
      <c r="S18" s="5" t="s">
        <v>42</v>
      </c>
      <c r="T18" s="5" t="s">
        <v>42</v>
      </c>
      <c r="U18" s="5" t="s">
        <v>42</v>
      </c>
      <c r="V18" s="2"/>
      <c r="W18" s="2"/>
      <c r="X18" s="2"/>
      <c r="Y18" s="2"/>
      <c r="Z18" s="5" t="s">
        <v>42</v>
      </c>
      <c r="AA18" s="2"/>
      <c r="AB18" s="2"/>
      <c r="AC18" s="2"/>
      <c r="AD18" s="2"/>
      <c r="AE18" s="2"/>
      <c r="AF18" s="2"/>
      <c r="AG18" s="2"/>
      <c r="AH18" s="2"/>
      <c r="AI18" s="2"/>
      <c r="AJ18" s="2"/>
    </row>
    <row r="19" spans="1:36" x14ac:dyDescent="0.5">
      <c r="A19" s="2"/>
      <c r="B19" s="2" t="s">
        <v>78</v>
      </c>
      <c r="C19" s="2" t="s">
        <v>81</v>
      </c>
      <c r="D19" s="2" t="s">
        <v>82</v>
      </c>
      <c r="E19" s="8" t="s">
        <v>83</v>
      </c>
      <c r="F19" s="4">
        <v>2</v>
      </c>
      <c r="G19" s="4" t="s">
        <v>41</v>
      </c>
      <c r="H19" s="2"/>
      <c r="I19" s="2"/>
      <c r="J19" s="2"/>
      <c r="K19" s="2"/>
      <c r="L19" s="2"/>
      <c r="M19" s="2"/>
      <c r="N19" s="2"/>
      <c r="O19" s="2"/>
      <c r="P19" s="5" t="s">
        <v>42</v>
      </c>
      <c r="Q19" s="5" t="s">
        <v>42</v>
      </c>
      <c r="R19" s="5" t="s">
        <v>42</v>
      </c>
      <c r="S19" s="5" t="s">
        <v>42</v>
      </c>
      <c r="T19" s="5" t="s">
        <v>42</v>
      </c>
      <c r="U19" s="5" t="s">
        <v>42</v>
      </c>
      <c r="V19" s="2"/>
      <c r="W19" s="2"/>
      <c r="X19" s="2"/>
      <c r="Y19" s="2"/>
      <c r="Z19" s="5" t="s">
        <v>42</v>
      </c>
      <c r="AA19" s="2"/>
      <c r="AB19" s="2"/>
      <c r="AC19" s="2"/>
      <c r="AD19" s="2"/>
      <c r="AE19" s="2"/>
      <c r="AF19" s="2"/>
      <c r="AG19" s="2"/>
      <c r="AH19" s="2"/>
      <c r="AI19" s="2"/>
      <c r="AJ19" s="2"/>
    </row>
    <row r="20" spans="1:36" x14ac:dyDescent="0.5">
      <c r="A20" s="2"/>
      <c r="B20" s="2" t="s">
        <v>78</v>
      </c>
      <c r="C20" s="2" t="s">
        <v>84</v>
      </c>
      <c r="D20" s="2" t="s">
        <v>85</v>
      </c>
      <c r="E20" s="7" t="s">
        <v>77</v>
      </c>
      <c r="F20" s="4">
        <v>3</v>
      </c>
      <c r="G20" s="4" t="s">
        <v>41</v>
      </c>
      <c r="H20" s="2"/>
      <c r="I20" s="2"/>
      <c r="J20" s="2"/>
      <c r="K20" s="2"/>
      <c r="L20" s="2"/>
      <c r="M20" s="2"/>
      <c r="N20" s="2"/>
      <c r="O20" s="2"/>
      <c r="P20" s="5" t="s">
        <v>42</v>
      </c>
      <c r="Q20" s="5" t="s">
        <v>42</v>
      </c>
      <c r="R20" s="5" t="s">
        <v>42</v>
      </c>
      <c r="S20" s="5" t="s">
        <v>42</v>
      </c>
      <c r="T20" s="5" t="s">
        <v>42</v>
      </c>
      <c r="U20" s="5" t="s">
        <v>42</v>
      </c>
      <c r="V20" s="2"/>
      <c r="W20" s="2"/>
      <c r="X20" s="2"/>
      <c r="Y20" s="2"/>
      <c r="Z20" s="5" t="s">
        <v>42</v>
      </c>
      <c r="AA20" s="2"/>
      <c r="AB20" s="2"/>
      <c r="AC20" s="2"/>
      <c r="AD20" s="2"/>
      <c r="AE20" s="2"/>
      <c r="AF20" s="2"/>
      <c r="AG20" s="2"/>
      <c r="AH20" s="2"/>
      <c r="AI20" s="2"/>
      <c r="AJ20" s="2"/>
    </row>
    <row r="21" spans="1:36" x14ac:dyDescent="0.5">
      <c r="A21" s="2"/>
      <c r="B21" s="2" t="s">
        <v>86</v>
      </c>
      <c r="C21" s="2" t="s">
        <v>87</v>
      </c>
      <c r="D21" s="2" t="s">
        <v>88</v>
      </c>
      <c r="E21" s="6" t="s">
        <v>54</v>
      </c>
      <c r="F21" s="4">
        <v>4</v>
      </c>
      <c r="G21" s="4" t="s">
        <v>41</v>
      </c>
      <c r="H21" s="2"/>
      <c r="I21" s="2"/>
      <c r="J21" s="2"/>
      <c r="K21" s="2"/>
      <c r="L21" s="2"/>
      <c r="M21" s="2"/>
      <c r="N21" s="2"/>
      <c r="O21" s="2"/>
      <c r="P21" s="5" t="s">
        <v>42</v>
      </c>
      <c r="Q21" s="5" t="s">
        <v>42</v>
      </c>
      <c r="R21" s="5" t="s">
        <v>42</v>
      </c>
      <c r="S21" s="5" t="s">
        <v>42</v>
      </c>
      <c r="T21" s="5" t="s">
        <v>42</v>
      </c>
      <c r="U21" s="5" t="s">
        <v>42</v>
      </c>
      <c r="V21" s="2"/>
      <c r="W21" s="2"/>
      <c r="X21" s="2"/>
      <c r="Y21" s="2"/>
      <c r="Z21" s="5" t="s">
        <v>42</v>
      </c>
      <c r="AA21" s="2"/>
      <c r="AB21" s="2"/>
      <c r="AC21" s="2"/>
      <c r="AD21" s="2"/>
      <c r="AE21" s="2"/>
      <c r="AF21" s="2"/>
      <c r="AG21" s="2"/>
      <c r="AH21" s="2"/>
      <c r="AI21" s="2"/>
      <c r="AJ21" s="2"/>
    </row>
    <row r="22" spans="1:36" x14ac:dyDescent="0.5">
      <c r="A22" s="2"/>
      <c r="B22" s="2" t="s">
        <v>86</v>
      </c>
      <c r="C22" s="2" t="s">
        <v>89</v>
      </c>
      <c r="D22" s="2" t="s">
        <v>90</v>
      </c>
      <c r="E22" s="6" t="s">
        <v>54</v>
      </c>
      <c r="F22" s="4">
        <v>4</v>
      </c>
      <c r="G22" s="4" t="s">
        <v>41</v>
      </c>
      <c r="H22" s="2"/>
      <c r="I22" s="2"/>
      <c r="J22" s="2"/>
      <c r="K22" s="2"/>
      <c r="L22" s="2"/>
      <c r="M22" s="2"/>
      <c r="N22" s="2"/>
      <c r="O22" s="2"/>
      <c r="P22" s="5" t="s">
        <v>42</v>
      </c>
      <c r="Q22" s="5" t="s">
        <v>42</v>
      </c>
      <c r="R22" s="5" t="s">
        <v>42</v>
      </c>
      <c r="S22" s="5" t="s">
        <v>42</v>
      </c>
      <c r="T22" s="5" t="s">
        <v>42</v>
      </c>
      <c r="U22" s="5" t="s">
        <v>42</v>
      </c>
      <c r="V22" s="2"/>
      <c r="W22" s="2"/>
      <c r="X22" s="2"/>
      <c r="Y22" s="2"/>
      <c r="Z22" s="5" t="s">
        <v>42</v>
      </c>
      <c r="AA22" s="2"/>
      <c r="AB22" s="2"/>
      <c r="AC22" s="2"/>
      <c r="AD22" s="2"/>
      <c r="AE22" s="2"/>
      <c r="AF22" s="2"/>
      <c r="AG22" s="2"/>
      <c r="AH22" s="2"/>
      <c r="AI22" s="2"/>
      <c r="AJ22" s="2"/>
    </row>
    <row r="23" spans="1:36" x14ac:dyDescent="0.5">
      <c r="A23" s="2"/>
      <c r="B23" s="2" t="s">
        <v>86</v>
      </c>
      <c r="C23" s="2" t="s">
        <v>91</v>
      </c>
      <c r="D23" s="2" t="s">
        <v>92</v>
      </c>
      <c r="E23" s="6" t="s">
        <v>54</v>
      </c>
      <c r="F23" s="4">
        <v>4</v>
      </c>
      <c r="G23" s="4" t="s">
        <v>41</v>
      </c>
      <c r="H23" s="2"/>
      <c r="I23" s="2"/>
      <c r="J23" s="2"/>
      <c r="K23" s="2"/>
      <c r="L23" s="2"/>
      <c r="M23" s="2"/>
      <c r="N23" s="2"/>
      <c r="O23" s="2"/>
      <c r="P23" s="5" t="s">
        <v>42</v>
      </c>
      <c r="Q23" s="5" t="s">
        <v>42</v>
      </c>
      <c r="R23" s="5" t="s">
        <v>42</v>
      </c>
      <c r="S23" s="5" t="s">
        <v>42</v>
      </c>
      <c r="T23" s="5" t="s">
        <v>42</v>
      </c>
      <c r="U23" s="5" t="s">
        <v>42</v>
      </c>
      <c r="V23" s="2"/>
      <c r="W23" s="2"/>
      <c r="X23" s="2"/>
      <c r="Y23" s="2"/>
      <c r="Z23" s="5" t="s">
        <v>42</v>
      </c>
      <c r="AA23" s="2"/>
      <c r="AB23" s="2"/>
      <c r="AC23" s="2"/>
      <c r="AD23" s="2"/>
      <c r="AE23" s="2"/>
      <c r="AF23" s="2"/>
      <c r="AG23" s="2"/>
      <c r="AH23" s="2"/>
      <c r="AI23" s="2"/>
      <c r="AJ23" s="2"/>
    </row>
    <row r="24" spans="1:36" x14ac:dyDescent="0.5">
      <c r="A24" s="2" t="s">
        <v>93</v>
      </c>
      <c r="B24" s="2" t="s">
        <v>94</v>
      </c>
      <c r="C24" s="2" t="s">
        <v>95</v>
      </c>
      <c r="D24" s="2" t="s">
        <v>96</v>
      </c>
      <c r="E24" s="7" t="s">
        <v>77</v>
      </c>
      <c r="F24" s="4">
        <v>3</v>
      </c>
      <c r="G24" s="4" t="s">
        <v>41</v>
      </c>
      <c r="H24" s="2"/>
      <c r="I24" s="2"/>
      <c r="J24" s="2"/>
      <c r="K24" s="5" t="s">
        <v>42</v>
      </c>
      <c r="L24" s="5" t="s">
        <v>42</v>
      </c>
      <c r="M24" s="5" t="s">
        <v>42</v>
      </c>
      <c r="N24" s="2"/>
      <c r="O24" s="9" t="s">
        <v>97</v>
      </c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</row>
    <row r="25" spans="1:36" x14ac:dyDescent="0.5">
      <c r="A25" s="2"/>
      <c r="B25" s="2" t="s">
        <v>94</v>
      </c>
      <c r="C25" s="2" t="s">
        <v>98</v>
      </c>
      <c r="D25" s="2" t="s">
        <v>99</v>
      </c>
      <c r="E25" s="6" t="s">
        <v>54</v>
      </c>
      <c r="F25" s="4">
        <v>4</v>
      </c>
      <c r="G25" s="4" t="s">
        <v>41</v>
      </c>
      <c r="H25" s="2"/>
      <c r="I25" s="2"/>
      <c r="J25" s="2"/>
      <c r="K25" s="5" t="s">
        <v>42</v>
      </c>
      <c r="L25" s="5" t="s">
        <v>42</v>
      </c>
      <c r="M25" s="5" t="s">
        <v>42</v>
      </c>
      <c r="N25" s="2"/>
      <c r="O25" s="9" t="s">
        <v>97</v>
      </c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</row>
    <row r="26" spans="1:36" x14ac:dyDescent="0.5">
      <c r="A26" s="2"/>
      <c r="B26" s="2" t="s">
        <v>94</v>
      </c>
      <c r="C26" s="2" t="s">
        <v>100</v>
      </c>
      <c r="D26" s="2" t="s">
        <v>101</v>
      </c>
      <c r="E26" s="3" t="s">
        <v>40</v>
      </c>
      <c r="F26" s="4">
        <v>6</v>
      </c>
      <c r="G26" s="4" t="s">
        <v>41</v>
      </c>
      <c r="H26" s="2"/>
      <c r="I26" s="2"/>
      <c r="J26" s="2"/>
      <c r="K26" s="5" t="s">
        <v>42</v>
      </c>
      <c r="L26" s="5" t="s">
        <v>42</v>
      </c>
      <c r="M26" s="5" t="s">
        <v>42</v>
      </c>
      <c r="N26" s="2"/>
      <c r="O26" s="9" t="s">
        <v>97</v>
      </c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</row>
    <row r="27" spans="1:36" x14ac:dyDescent="0.5">
      <c r="A27" s="2"/>
      <c r="B27" s="2" t="s">
        <v>102</v>
      </c>
      <c r="C27" s="2" t="s">
        <v>103</v>
      </c>
      <c r="D27" s="2" t="s">
        <v>104</v>
      </c>
      <c r="E27" s="6" t="s">
        <v>54</v>
      </c>
      <c r="F27" s="4">
        <v>4</v>
      </c>
      <c r="G27" s="4" t="s">
        <v>41</v>
      </c>
      <c r="H27" s="2"/>
      <c r="I27" s="2"/>
      <c r="J27" s="2"/>
      <c r="K27" s="5" t="s">
        <v>42</v>
      </c>
      <c r="L27" s="5" t="s">
        <v>42</v>
      </c>
      <c r="M27" s="5" t="s">
        <v>42</v>
      </c>
      <c r="N27" s="2"/>
      <c r="O27" s="9" t="s">
        <v>97</v>
      </c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</row>
    <row r="28" spans="1:36" x14ac:dyDescent="0.5">
      <c r="A28" s="2"/>
      <c r="B28" s="2" t="s">
        <v>102</v>
      </c>
      <c r="C28" s="2" t="s">
        <v>105</v>
      </c>
      <c r="D28" s="2" t="s">
        <v>106</v>
      </c>
      <c r="E28" s="6" t="s">
        <v>54</v>
      </c>
      <c r="F28" s="4">
        <v>4</v>
      </c>
      <c r="G28" s="4" t="s">
        <v>41</v>
      </c>
      <c r="H28" s="2"/>
      <c r="I28" s="2"/>
      <c r="J28" s="2"/>
      <c r="K28" s="5" t="s">
        <v>42</v>
      </c>
      <c r="L28" s="5" t="s">
        <v>42</v>
      </c>
      <c r="M28" s="5" t="s">
        <v>42</v>
      </c>
      <c r="N28" s="2"/>
      <c r="O28" s="9" t="s">
        <v>97</v>
      </c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</row>
    <row r="29" spans="1:36" x14ac:dyDescent="0.5">
      <c r="A29" s="2"/>
      <c r="B29" s="2" t="s">
        <v>102</v>
      </c>
      <c r="C29" s="2" t="s">
        <v>107</v>
      </c>
      <c r="D29" s="2" t="s">
        <v>108</v>
      </c>
      <c r="E29" s="6" t="s">
        <v>54</v>
      </c>
      <c r="F29" s="4">
        <v>4</v>
      </c>
      <c r="G29" s="4" t="s">
        <v>41</v>
      </c>
      <c r="H29" s="2"/>
      <c r="I29" s="2"/>
      <c r="J29" s="2"/>
      <c r="K29" s="5" t="s">
        <v>42</v>
      </c>
      <c r="L29" s="5" t="s">
        <v>42</v>
      </c>
      <c r="M29" s="5" t="s">
        <v>42</v>
      </c>
      <c r="N29" s="2"/>
      <c r="O29" s="9" t="s">
        <v>97</v>
      </c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</row>
    <row r="30" spans="1:36" x14ac:dyDescent="0.5">
      <c r="A30" s="2"/>
      <c r="B30" s="2" t="s">
        <v>109</v>
      </c>
      <c r="C30" s="2" t="s">
        <v>110</v>
      </c>
      <c r="D30" s="2" t="s">
        <v>111</v>
      </c>
      <c r="E30" s="6" t="s">
        <v>54</v>
      </c>
      <c r="F30" s="4">
        <v>4</v>
      </c>
      <c r="G30" s="4" t="s">
        <v>41</v>
      </c>
      <c r="H30" s="2"/>
      <c r="I30" s="2"/>
      <c r="J30" s="2"/>
      <c r="K30" s="5" t="s">
        <v>42</v>
      </c>
      <c r="L30" s="5" t="s">
        <v>42</v>
      </c>
      <c r="M30" s="5" t="s">
        <v>42</v>
      </c>
      <c r="N30" s="2"/>
      <c r="O30" s="9" t="s">
        <v>97</v>
      </c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</row>
    <row r="31" spans="1:36" x14ac:dyDescent="0.5">
      <c r="A31" s="2"/>
      <c r="B31" s="2" t="s">
        <v>109</v>
      </c>
      <c r="C31" s="2" t="s">
        <v>112</v>
      </c>
      <c r="D31" s="2" t="s">
        <v>113</v>
      </c>
      <c r="E31" s="3" t="s">
        <v>40</v>
      </c>
      <c r="F31" s="4">
        <v>6</v>
      </c>
      <c r="G31" s="4" t="s">
        <v>41</v>
      </c>
      <c r="H31" s="2"/>
      <c r="I31" s="2"/>
      <c r="J31" s="2"/>
      <c r="K31" s="5" t="s">
        <v>42</v>
      </c>
      <c r="L31" s="5" t="s">
        <v>42</v>
      </c>
      <c r="M31" s="5" t="s">
        <v>42</v>
      </c>
      <c r="N31" s="2"/>
      <c r="O31" s="9" t="s">
        <v>97</v>
      </c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</row>
    <row r="32" spans="1:36" x14ac:dyDescent="0.5">
      <c r="A32" s="2"/>
      <c r="B32" s="2" t="s">
        <v>109</v>
      </c>
      <c r="C32" s="2" t="s">
        <v>114</v>
      </c>
      <c r="D32" s="2" t="s">
        <v>115</v>
      </c>
      <c r="E32" s="6" t="s">
        <v>54</v>
      </c>
      <c r="F32" s="4">
        <v>4</v>
      </c>
      <c r="G32" s="4" t="s">
        <v>41</v>
      </c>
      <c r="H32" s="2"/>
      <c r="I32" s="2"/>
      <c r="J32" s="2"/>
      <c r="K32" s="5" t="s">
        <v>42</v>
      </c>
      <c r="L32" s="5" t="s">
        <v>42</v>
      </c>
      <c r="M32" s="5" t="s">
        <v>42</v>
      </c>
      <c r="N32" s="2"/>
      <c r="O32" s="9" t="s">
        <v>97</v>
      </c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</row>
    <row r="33" spans="1:36" x14ac:dyDescent="0.5">
      <c r="A33" s="2"/>
      <c r="B33" s="2" t="s">
        <v>109</v>
      </c>
      <c r="C33" s="2" t="s">
        <v>116</v>
      </c>
      <c r="D33" s="2" t="s">
        <v>117</v>
      </c>
      <c r="E33" s="6" t="s">
        <v>54</v>
      </c>
      <c r="F33" s="4">
        <v>4</v>
      </c>
      <c r="G33" s="4" t="s">
        <v>41</v>
      </c>
      <c r="H33" s="2"/>
      <c r="I33" s="2"/>
      <c r="J33" s="2"/>
      <c r="K33" s="5" t="s">
        <v>42</v>
      </c>
      <c r="L33" s="5" t="s">
        <v>42</v>
      </c>
      <c r="M33" s="5" t="s">
        <v>42</v>
      </c>
      <c r="N33" s="2"/>
      <c r="O33" s="9" t="s">
        <v>97</v>
      </c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</row>
    <row r="34" spans="1:36" x14ac:dyDescent="0.5">
      <c r="A34" s="2"/>
      <c r="B34" s="2" t="s">
        <v>118</v>
      </c>
      <c r="C34" s="2" t="s">
        <v>119</v>
      </c>
      <c r="D34" s="2" t="s">
        <v>120</v>
      </c>
      <c r="E34" s="7" t="s">
        <v>77</v>
      </c>
      <c r="F34" s="4">
        <v>3</v>
      </c>
      <c r="G34" s="4" t="s">
        <v>41</v>
      </c>
      <c r="H34" s="2"/>
      <c r="I34" s="2"/>
      <c r="J34" s="2"/>
      <c r="K34" s="5" t="s">
        <v>42</v>
      </c>
      <c r="L34" s="5" t="s">
        <v>42</v>
      </c>
      <c r="M34" s="5" t="s">
        <v>42</v>
      </c>
      <c r="N34" s="2"/>
      <c r="O34" s="9" t="s">
        <v>97</v>
      </c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</row>
    <row r="35" spans="1:36" x14ac:dyDescent="0.5">
      <c r="A35" s="2"/>
      <c r="B35" s="2" t="s">
        <v>118</v>
      </c>
      <c r="C35" s="2" t="s">
        <v>121</v>
      </c>
      <c r="D35" s="2" t="s">
        <v>122</v>
      </c>
      <c r="E35" s="7" t="s">
        <v>77</v>
      </c>
      <c r="F35" s="4">
        <v>3</v>
      </c>
      <c r="G35" s="4" t="s">
        <v>41</v>
      </c>
      <c r="H35" s="2"/>
      <c r="I35" s="2"/>
      <c r="J35" s="2"/>
      <c r="K35" s="5" t="s">
        <v>42</v>
      </c>
      <c r="L35" s="5" t="s">
        <v>42</v>
      </c>
      <c r="M35" s="5" t="s">
        <v>42</v>
      </c>
      <c r="N35" s="2"/>
      <c r="O35" s="9" t="s">
        <v>97</v>
      </c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</row>
    <row r="36" spans="1:36" x14ac:dyDescent="0.5">
      <c r="A36" s="2" t="s">
        <v>123</v>
      </c>
      <c r="B36" s="2" t="s">
        <v>124</v>
      </c>
      <c r="C36" s="2" t="s">
        <v>125</v>
      </c>
      <c r="D36" s="2" t="s">
        <v>126</v>
      </c>
      <c r="E36" s="3" t="s">
        <v>40</v>
      </c>
      <c r="F36" s="4">
        <v>6</v>
      </c>
      <c r="G36" s="4" t="s">
        <v>41</v>
      </c>
      <c r="H36" s="2"/>
      <c r="I36" s="2"/>
      <c r="J36" s="2"/>
      <c r="K36" s="2"/>
      <c r="L36" s="5" t="s">
        <v>42</v>
      </c>
      <c r="M36" s="5" t="s">
        <v>42</v>
      </c>
      <c r="N36" s="5" t="s">
        <v>42</v>
      </c>
      <c r="O36" s="2"/>
      <c r="P36" s="2"/>
      <c r="Q36" s="2"/>
      <c r="R36" s="2"/>
      <c r="S36" s="2"/>
      <c r="T36" s="2"/>
      <c r="U36" s="2"/>
      <c r="V36" s="5" t="s">
        <v>42</v>
      </c>
      <c r="W36" s="5" t="s">
        <v>42</v>
      </c>
      <c r="X36" s="5" t="s">
        <v>42</v>
      </c>
      <c r="Y36" s="5" t="s">
        <v>42</v>
      </c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</row>
    <row r="37" spans="1:36" x14ac:dyDescent="0.5">
      <c r="A37" s="2"/>
      <c r="B37" s="2" t="s">
        <v>124</v>
      </c>
      <c r="C37" s="2" t="s">
        <v>127</v>
      </c>
      <c r="D37" s="2" t="s">
        <v>128</v>
      </c>
      <c r="E37" s="3" t="s">
        <v>40</v>
      </c>
      <c r="F37" s="4">
        <v>6</v>
      </c>
      <c r="G37" s="4" t="s">
        <v>41</v>
      </c>
      <c r="H37" s="2"/>
      <c r="I37" s="2"/>
      <c r="J37" s="2"/>
      <c r="K37" s="2"/>
      <c r="L37" s="5" t="s">
        <v>42</v>
      </c>
      <c r="M37" s="5" t="s">
        <v>42</v>
      </c>
      <c r="N37" s="5" t="s">
        <v>42</v>
      </c>
      <c r="O37" s="2"/>
      <c r="P37" s="2"/>
      <c r="Q37" s="2"/>
      <c r="R37" s="2"/>
      <c r="S37" s="2"/>
      <c r="T37" s="2"/>
      <c r="U37" s="2"/>
      <c r="V37" s="5" t="s">
        <v>42</v>
      </c>
      <c r="W37" s="5" t="s">
        <v>42</v>
      </c>
      <c r="X37" s="5" t="s">
        <v>42</v>
      </c>
      <c r="Y37" s="5" t="s">
        <v>42</v>
      </c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</row>
    <row r="38" spans="1:36" x14ac:dyDescent="0.5">
      <c r="A38" s="2"/>
      <c r="B38" s="2" t="s">
        <v>124</v>
      </c>
      <c r="C38" s="2" t="s">
        <v>129</v>
      </c>
      <c r="D38" s="2" t="s">
        <v>130</v>
      </c>
      <c r="E38" s="3" t="s">
        <v>40</v>
      </c>
      <c r="F38" s="4">
        <v>6</v>
      </c>
      <c r="G38" s="4" t="s">
        <v>41</v>
      </c>
      <c r="H38" s="2"/>
      <c r="I38" s="2"/>
      <c r="J38" s="2"/>
      <c r="K38" s="2"/>
      <c r="L38" s="5" t="s">
        <v>42</v>
      </c>
      <c r="M38" s="5" t="s">
        <v>42</v>
      </c>
      <c r="N38" s="5" t="s">
        <v>42</v>
      </c>
      <c r="O38" s="2"/>
      <c r="P38" s="2"/>
      <c r="Q38" s="2"/>
      <c r="R38" s="2"/>
      <c r="S38" s="2"/>
      <c r="T38" s="2"/>
      <c r="U38" s="2"/>
      <c r="V38" s="5" t="s">
        <v>42</v>
      </c>
      <c r="W38" s="5" t="s">
        <v>42</v>
      </c>
      <c r="X38" s="5" t="s">
        <v>42</v>
      </c>
      <c r="Y38" s="5" t="s">
        <v>42</v>
      </c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</row>
    <row r="39" spans="1:36" x14ac:dyDescent="0.5">
      <c r="A39" s="2"/>
      <c r="B39" s="2" t="s">
        <v>124</v>
      </c>
      <c r="C39" s="2" t="s">
        <v>131</v>
      </c>
      <c r="D39" s="2" t="s">
        <v>132</v>
      </c>
      <c r="E39" s="3" t="s">
        <v>40</v>
      </c>
      <c r="F39" s="4">
        <v>6</v>
      </c>
      <c r="G39" s="4" t="s">
        <v>41</v>
      </c>
      <c r="H39" s="2"/>
      <c r="I39" s="2"/>
      <c r="J39" s="2"/>
      <c r="K39" s="2"/>
      <c r="L39" s="5" t="s">
        <v>42</v>
      </c>
      <c r="M39" s="5" t="s">
        <v>42</v>
      </c>
      <c r="N39" s="5" t="s">
        <v>42</v>
      </c>
      <c r="O39" s="2"/>
      <c r="P39" s="2"/>
      <c r="Q39" s="2"/>
      <c r="R39" s="2"/>
      <c r="S39" s="2"/>
      <c r="T39" s="2"/>
      <c r="U39" s="2"/>
      <c r="V39" s="5" t="s">
        <v>42</v>
      </c>
      <c r="W39" s="5" t="s">
        <v>42</v>
      </c>
      <c r="X39" s="5" t="s">
        <v>42</v>
      </c>
      <c r="Y39" s="5" t="s">
        <v>42</v>
      </c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</row>
    <row r="40" spans="1:36" x14ac:dyDescent="0.5">
      <c r="A40" s="2"/>
      <c r="B40" s="2" t="s">
        <v>124</v>
      </c>
      <c r="C40" s="2" t="s">
        <v>133</v>
      </c>
      <c r="D40" s="2" t="s">
        <v>134</v>
      </c>
      <c r="E40" s="7" t="s">
        <v>77</v>
      </c>
      <c r="F40" s="4">
        <v>3</v>
      </c>
      <c r="G40" s="4" t="s">
        <v>41</v>
      </c>
      <c r="H40" s="2"/>
      <c r="I40" s="2"/>
      <c r="J40" s="2"/>
      <c r="K40" s="2"/>
      <c r="L40" s="5" t="s">
        <v>42</v>
      </c>
      <c r="M40" s="5" t="s">
        <v>42</v>
      </c>
      <c r="N40" s="5" t="s">
        <v>42</v>
      </c>
      <c r="O40" s="2"/>
      <c r="P40" s="2"/>
      <c r="Q40" s="2"/>
      <c r="R40" s="2"/>
      <c r="S40" s="2"/>
      <c r="T40" s="2"/>
      <c r="U40" s="2"/>
      <c r="V40" s="5" t="s">
        <v>42</v>
      </c>
      <c r="W40" s="5" t="s">
        <v>42</v>
      </c>
      <c r="X40" s="5" t="s">
        <v>42</v>
      </c>
      <c r="Y40" s="5" t="s">
        <v>42</v>
      </c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</row>
    <row r="41" spans="1:36" x14ac:dyDescent="0.5">
      <c r="A41" s="2"/>
      <c r="B41" s="2" t="s">
        <v>124</v>
      </c>
      <c r="C41" s="2" t="s">
        <v>135</v>
      </c>
      <c r="D41" s="2" t="s">
        <v>136</v>
      </c>
      <c r="E41" s="6" t="s">
        <v>54</v>
      </c>
      <c r="F41" s="4">
        <v>4</v>
      </c>
      <c r="G41" s="4" t="s">
        <v>41</v>
      </c>
      <c r="H41" s="2"/>
      <c r="I41" s="2"/>
      <c r="J41" s="2"/>
      <c r="K41" s="2"/>
      <c r="L41" s="5" t="s">
        <v>42</v>
      </c>
      <c r="M41" s="5" t="s">
        <v>42</v>
      </c>
      <c r="N41" s="5" t="s">
        <v>42</v>
      </c>
      <c r="O41" s="2"/>
      <c r="P41" s="2"/>
      <c r="Q41" s="2"/>
      <c r="R41" s="2"/>
      <c r="S41" s="2"/>
      <c r="T41" s="2"/>
      <c r="U41" s="2"/>
      <c r="V41" s="5" t="s">
        <v>42</v>
      </c>
      <c r="W41" s="5" t="s">
        <v>42</v>
      </c>
      <c r="X41" s="5" t="s">
        <v>42</v>
      </c>
      <c r="Y41" s="5" t="s">
        <v>42</v>
      </c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</row>
    <row r="42" spans="1:36" x14ac:dyDescent="0.5">
      <c r="A42" s="2"/>
      <c r="B42" s="2" t="s">
        <v>137</v>
      </c>
      <c r="C42" s="2" t="s">
        <v>138</v>
      </c>
      <c r="D42" s="2" t="s">
        <v>139</v>
      </c>
      <c r="E42" s="7" t="s">
        <v>77</v>
      </c>
      <c r="F42" s="4">
        <v>3</v>
      </c>
      <c r="G42" s="4" t="s">
        <v>41</v>
      </c>
      <c r="H42" s="2"/>
      <c r="I42" s="2"/>
      <c r="J42" s="2"/>
      <c r="K42" s="2"/>
      <c r="L42" s="5" t="s">
        <v>42</v>
      </c>
      <c r="M42" s="5" t="s">
        <v>42</v>
      </c>
      <c r="N42" s="5" t="s">
        <v>42</v>
      </c>
      <c r="O42" s="2"/>
      <c r="P42" s="2"/>
      <c r="Q42" s="2"/>
      <c r="R42" s="2"/>
      <c r="S42" s="2"/>
      <c r="T42" s="2"/>
      <c r="U42" s="2"/>
      <c r="V42" s="5" t="s">
        <v>42</v>
      </c>
      <c r="W42" s="5" t="s">
        <v>42</v>
      </c>
      <c r="X42" s="5" t="s">
        <v>42</v>
      </c>
      <c r="Y42" s="5" t="s">
        <v>42</v>
      </c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</row>
    <row r="43" spans="1:36" x14ac:dyDescent="0.5">
      <c r="A43" s="2"/>
      <c r="B43" s="2" t="s">
        <v>137</v>
      </c>
      <c r="C43" s="2" t="s">
        <v>140</v>
      </c>
      <c r="D43" s="2" t="s">
        <v>141</v>
      </c>
      <c r="E43" s="7" t="s">
        <v>77</v>
      </c>
      <c r="F43" s="4">
        <v>3</v>
      </c>
      <c r="G43" s="4" t="s">
        <v>41</v>
      </c>
      <c r="H43" s="2"/>
      <c r="I43" s="2"/>
      <c r="J43" s="2"/>
      <c r="K43" s="2"/>
      <c r="L43" s="5" t="s">
        <v>42</v>
      </c>
      <c r="M43" s="5" t="s">
        <v>42</v>
      </c>
      <c r="N43" s="5" t="s">
        <v>42</v>
      </c>
      <c r="O43" s="2"/>
      <c r="P43" s="2"/>
      <c r="Q43" s="2"/>
      <c r="R43" s="2"/>
      <c r="S43" s="2"/>
      <c r="T43" s="2"/>
      <c r="U43" s="2"/>
      <c r="V43" s="5" t="s">
        <v>42</v>
      </c>
      <c r="W43" s="5" t="s">
        <v>42</v>
      </c>
      <c r="X43" s="5" t="s">
        <v>42</v>
      </c>
      <c r="Y43" s="5" t="s">
        <v>42</v>
      </c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</row>
    <row r="44" spans="1:36" x14ac:dyDescent="0.5">
      <c r="A44" s="2"/>
      <c r="B44" s="2" t="s">
        <v>137</v>
      </c>
      <c r="C44" s="2" t="s">
        <v>142</v>
      </c>
      <c r="D44" s="2" t="s">
        <v>143</v>
      </c>
      <c r="E44" s="7" t="s">
        <v>77</v>
      </c>
      <c r="F44" s="4">
        <v>3</v>
      </c>
      <c r="G44" s="4" t="s">
        <v>41</v>
      </c>
      <c r="H44" s="2"/>
      <c r="I44" s="2"/>
      <c r="J44" s="2"/>
      <c r="K44" s="2"/>
      <c r="L44" s="5" t="s">
        <v>42</v>
      </c>
      <c r="M44" s="5" t="s">
        <v>42</v>
      </c>
      <c r="N44" s="5" t="s">
        <v>42</v>
      </c>
      <c r="O44" s="2"/>
      <c r="P44" s="2"/>
      <c r="Q44" s="2"/>
      <c r="R44" s="2"/>
      <c r="S44" s="2"/>
      <c r="T44" s="2"/>
      <c r="U44" s="2"/>
      <c r="V44" s="5" t="s">
        <v>42</v>
      </c>
      <c r="W44" s="5" t="s">
        <v>42</v>
      </c>
      <c r="X44" s="5" t="s">
        <v>42</v>
      </c>
      <c r="Y44" s="5" t="s">
        <v>42</v>
      </c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</row>
    <row r="45" spans="1:36" x14ac:dyDescent="0.5">
      <c r="A45" s="2"/>
      <c r="B45" s="2" t="s">
        <v>144</v>
      </c>
      <c r="C45" s="2" t="s">
        <v>145</v>
      </c>
      <c r="D45" s="2" t="s">
        <v>146</v>
      </c>
      <c r="E45" s="6" t="s">
        <v>54</v>
      </c>
      <c r="F45" s="4">
        <v>4</v>
      </c>
      <c r="G45" s="4" t="s">
        <v>41</v>
      </c>
      <c r="H45" s="2"/>
      <c r="I45" s="2"/>
      <c r="J45" s="2"/>
      <c r="K45" s="2"/>
      <c r="L45" s="5" t="s">
        <v>42</v>
      </c>
      <c r="M45" s="5" t="s">
        <v>42</v>
      </c>
      <c r="N45" s="5" t="s">
        <v>42</v>
      </c>
      <c r="O45" s="2"/>
      <c r="P45" s="2"/>
      <c r="Q45" s="2"/>
      <c r="R45" s="2"/>
      <c r="S45" s="2"/>
      <c r="T45" s="2"/>
      <c r="U45" s="2"/>
      <c r="V45" s="5" t="s">
        <v>42</v>
      </c>
      <c r="W45" s="5" t="s">
        <v>42</v>
      </c>
      <c r="X45" s="5" t="s">
        <v>42</v>
      </c>
      <c r="Y45" s="5" t="s">
        <v>42</v>
      </c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</row>
    <row r="46" spans="1:36" x14ac:dyDescent="0.5">
      <c r="A46" s="2"/>
      <c r="B46" s="2" t="s">
        <v>144</v>
      </c>
      <c r="C46" s="2" t="s">
        <v>147</v>
      </c>
      <c r="D46" s="2" t="s">
        <v>148</v>
      </c>
      <c r="E46" s="7" t="s">
        <v>77</v>
      </c>
      <c r="F46" s="4">
        <v>3</v>
      </c>
      <c r="G46" s="4" t="s">
        <v>41</v>
      </c>
      <c r="H46" s="2"/>
      <c r="I46" s="2"/>
      <c r="J46" s="2"/>
      <c r="K46" s="2"/>
      <c r="L46" s="5" t="s">
        <v>42</v>
      </c>
      <c r="M46" s="5" t="s">
        <v>42</v>
      </c>
      <c r="N46" s="5" t="s">
        <v>42</v>
      </c>
      <c r="O46" s="2"/>
      <c r="P46" s="2"/>
      <c r="Q46" s="2"/>
      <c r="R46" s="2"/>
      <c r="S46" s="2"/>
      <c r="T46" s="2"/>
      <c r="U46" s="2"/>
      <c r="V46" s="5" t="s">
        <v>42</v>
      </c>
      <c r="W46" s="5" t="s">
        <v>42</v>
      </c>
      <c r="X46" s="5" t="s">
        <v>42</v>
      </c>
      <c r="Y46" s="5" t="s">
        <v>42</v>
      </c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</row>
    <row r="47" spans="1:36" x14ac:dyDescent="0.5">
      <c r="A47" s="2"/>
      <c r="B47" s="2" t="s">
        <v>144</v>
      </c>
      <c r="C47" s="2" t="s">
        <v>149</v>
      </c>
      <c r="D47" s="2" t="s">
        <v>150</v>
      </c>
      <c r="E47" s="6" t="s">
        <v>54</v>
      </c>
      <c r="F47" s="4">
        <v>4</v>
      </c>
      <c r="G47" s="4" t="s">
        <v>41</v>
      </c>
      <c r="H47" s="2"/>
      <c r="I47" s="2"/>
      <c r="J47" s="2"/>
      <c r="K47" s="2"/>
      <c r="L47" s="5" t="s">
        <v>42</v>
      </c>
      <c r="M47" s="5" t="s">
        <v>42</v>
      </c>
      <c r="N47" s="5" t="s">
        <v>42</v>
      </c>
      <c r="O47" s="2"/>
      <c r="P47" s="2"/>
      <c r="Q47" s="2"/>
      <c r="R47" s="2"/>
      <c r="S47" s="2"/>
      <c r="T47" s="2"/>
      <c r="U47" s="2"/>
      <c r="V47" s="5" t="s">
        <v>42</v>
      </c>
      <c r="W47" s="5" t="s">
        <v>42</v>
      </c>
      <c r="X47" s="5" t="s">
        <v>42</v>
      </c>
      <c r="Y47" s="5" t="s">
        <v>42</v>
      </c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</row>
    <row r="48" spans="1:36" x14ac:dyDescent="0.5">
      <c r="A48" s="2"/>
      <c r="B48" s="2" t="s">
        <v>144</v>
      </c>
      <c r="C48" s="2" t="s">
        <v>151</v>
      </c>
      <c r="D48" s="2" t="s">
        <v>152</v>
      </c>
      <c r="E48" s="7" t="s">
        <v>77</v>
      </c>
      <c r="F48" s="4">
        <v>3</v>
      </c>
      <c r="G48" s="4" t="s">
        <v>41</v>
      </c>
      <c r="H48" s="2"/>
      <c r="I48" s="2"/>
      <c r="J48" s="2"/>
      <c r="K48" s="2"/>
      <c r="L48" s="5" t="s">
        <v>42</v>
      </c>
      <c r="M48" s="5" t="s">
        <v>42</v>
      </c>
      <c r="N48" s="5" t="s">
        <v>42</v>
      </c>
      <c r="O48" s="2"/>
      <c r="P48" s="2"/>
      <c r="Q48" s="2"/>
      <c r="R48" s="2"/>
      <c r="S48" s="2"/>
      <c r="T48" s="2"/>
      <c r="U48" s="2"/>
      <c r="V48" s="5" t="s">
        <v>42</v>
      </c>
      <c r="W48" s="5" t="s">
        <v>42</v>
      </c>
      <c r="X48" s="5" t="s">
        <v>42</v>
      </c>
      <c r="Y48" s="5" t="s">
        <v>42</v>
      </c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</row>
    <row r="49" spans="1:36" x14ac:dyDescent="0.5">
      <c r="A49" s="2"/>
      <c r="B49" s="2" t="s">
        <v>153</v>
      </c>
      <c r="C49" s="2" t="s">
        <v>154</v>
      </c>
      <c r="D49" s="2" t="s">
        <v>155</v>
      </c>
      <c r="E49" s="6" t="s">
        <v>54</v>
      </c>
      <c r="F49" s="4">
        <v>4</v>
      </c>
      <c r="G49" s="4" t="s">
        <v>41</v>
      </c>
      <c r="H49" s="2"/>
      <c r="I49" s="2"/>
      <c r="J49" s="2"/>
      <c r="K49" s="2"/>
      <c r="L49" s="5" t="s">
        <v>42</v>
      </c>
      <c r="M49" s="5" t="s">
        <v>42</v>
      </c>
      <c r="N49" s="5" t="s">
        <v>42</v>
      </c>
      <c r="O49" s="2"/>
      <c r="P49" s="2"/>
      <c r="Q49" s="2"/>
      <c r="R49" s="2"/>
      <c r="S49" s="2"/>
      <c r="T49" s="2"/>
      <c r="U49" s="2"/>
      <c r="V49" s="5" t="s">
        <v>42</v>
      </c>
      <c r="W49" s="5" t="s">
        <v>42</v>
      </c>
      <c r="X49" s="5" t="s">
        <v>42</v>
      </c>
      <c r="Y49" s="5" t="s">
        <v>42</v>
      </c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</row>
    <row r="50" spans="1:36" x14ac:dyDescent="0.5">
      <c r="A50" s="2"/>
      <c r="B50" s="2" t="s">
        <v>153</v>
      </c>
      <c r="C50" s="2" t="s">
        <v>156</v>
      </c>
      <c r="D50" s="2" t="s">
        <v>157</v>
      </c>
      <c r="E50" s="6" t="s">
        <v>54</v>
      </c>
      <c r="F50" s="4">
        <v>4</v>
      </c>
      <c r="G50" s="4" t="s">
        <v>41</v>
      </c>
      <c r="H50" s="2"/>
      <c r="I50" s="2"/>
      <c r="J50" s="2"/>
      <c r="K50" s="2"/>
      <c r="L50" s="5" t="s">
        <v>42</v>
      </c>
      <c r="M50" s="5" t="s">
        <v>42</v>
      </c>
      <c r="N50" s="5" t="s">
        <v>42</v>
      </c>
      <c r="O50" s="2"/>
      <c r="P50" s="2"/>
      <c r="Q50" s="2"/>
      <c r="R50" s="2"/>
      <c r="S50" s="2"/>
      <c r="T50" s="2"/>
      <c r="U50" s="2"/>
      <c r="V50" s="5" t="s">
        <v>42</v>
      </c>
      <c r="W50" s="5" t="s">
        <v>42</v>
      </c>
      <c r="X50" s="5" t="s">
        <v>42</v>
      </c>
      <c r="Y50" s="5" t="s">
        <v>42</v>
      </c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</row>
    <row r="51" spans="1:36" x14ac:dyDescent="0.5">
      <c r="A51" s="2"/>
      <c r="B51" s="2" t="s">
        <v>153</v>
      </c>
      <c r="C51" s="2" t="s">
        <v>158</v>
      </c>
      <c r="D51" s="2" t="s">
        <v>159</v>
      </c>
      <c r="E51" s="6" t="s">
        <v>54</v>
      </c>
      <c r="F51" s="4">
        <v>4</v>
      </c>
      <c r="G51" s="4" t="s">
        <v>41</v>
      </c>
      <c r="H51" s="2"/>
      <c r="I51" s="2"/>
      <c r="J51" s="2"/>
      <c r="K51" s="2"/>
      <c r="L51" s="5" t="s">
        <v>42</v>
      </c>
      <c r="M51" s="5" t="s">
        <v>42</v>
      </c>
      <c r="N51" s="5" t="s">
        <v>42</v>
      </c>
      <c r="O51" s="2"/>
      <c r="P51" s="2"/>
      <c r="Q51" s="2"/>
      <c r="R51" s="2"/>
      <c r="S51" s="2"/>
      <c r="T51" s="2"/>
      <c r="U51" s="2"/>
      <c r="V51" s="5" t="s">
        <v>42</v>
      </c>
      <c r="W51" s="5" t="s">
        <v>42</v>
      </c>
      <c r="X51" s="5" t="s">
        <v>42</v>
      </c>
      <c r="Y51" s="5" t="s">
        <v>42</v>
      </c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</row>
    <row r="52" spans="1:36" x14ac:dyDescent="0.5">
      <c r="A52" s="2"/>
      <c r="B52" s="2" t="s">
        <v>153</v>
      </c>
      <c r="C52" s="2" t="s">
        <v>160</v>
      </c>
      <c r="D52" s="2" t="s">
        <v>161</v>
      </c>
      <c r="E52" s="7" t="s">
        <v>77</v>
      </c>
      <c r="F52" s="4">
        <v>3</v>
      </c>
      <c r="G52" s="4" t="s">
        <v>41</v>
      </c>
      <c r="H52" s="2"/>
      <c r="I52" s="2"/>
      <c r="J52" s="2"/>
      <c r="K52" s="2"/>
      <c r="L52" s="5" t="s">
        <v>42</v>
      </c>
      <c r="M52" s="5" t="s">
        <v>42</v>
      </c>
      <c r="N52" s="5" t="s">
        <v>42</v>
      </c>
      <c r="O52" s="2"/>
      <c r="P52" s="2"/>
      <c r="Q52" s="2"/>
      <c r="R52" s="2"/>
      <c r="S52" s="2"/>
      <c r="T52" s="2"/>
      <c r="U52" s="2"/>
      <c r="V52" s="5" t="s">
        <v>42</v>
      </c>
      <c r="W52" s="5" t="s">
        <v>42</v>
      </c>
      <c r="X52" s="5" t="s">
        <v>42</v>
      </c>
      <c r="Y52" s="5" t="s">
        <v>42</v>
      </c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</row>
    <row r="53" spans="1:36" x14ac:dyDescent="0.5">
      <c r="A53" s="2"/>
      <c r="B53" s="2" t="s">
        <v>162</v>
      </c>
      <c r="C53" s="2" t="s">
        <v>163</v>
      </c>
      <c r="D53" s="2" t="s">
        <v>164</v>
      </c>
      <c r="E53" s="6" t="s">
        <v>54</v>
      </c>
      <c r="F53" s="4">
        <v>4</v>
      </c>
      <c r="G53" s="4" t="s">
        <v>41</v>
      </c>
      <c r="H53" s="2"/>
      <c r="I53" s="2"/>
      <c r="J53" s="2"/>
      <c r="K53" s="2"/>
      <c r="L53" s="5" t="s">
        <v>42</v>
      </c>
      <c r="M53" s="5" t="s">
        <v>42</v>
      </c>
      <c r="N53" s="5" t="s">
        <v>42</v>
      </c>
      <c r="O53" s="2"/>
      <c r="P53" s="2"/>
      <c r="Q53" s="2"/>
      <c r="R53" s="2"/>
      <c r="S53" s="2"/>
      <c r="T53" s="2"/>
      <c r="U53" s="2"/>
      <c r="V53" s="5" t="s">
        <v>42</v>
      </c>
      <c r="W53" s="5" t="s">
        <v>42</v>
      </c>
      <c r="X53" s="5" t="s">
        <v>42</v>
      </c>
      <c r="Y53" s="5" t="s">
        <v>42</v>
      </c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</row>
    <row r="54" spans="1:36" x14ac:dyDescent="0.5">
      <c r="A54" s="2"/>
      <c r="B54" s="2" t="s">
        <v>162</v>
      </c>
      <c r="C54" s="2" t="s">
        <v>165</v>
      </c>
      <c r="D54" s="2" t="s">
        <v>166</v>
      </c>
      <c r="E54" s="6" t="s">
        <v>54</v>
      </c>
      <c r="F54" s="4">
        <v>4</v>
      </c>
      <c r="G54" s="4" t="s">
        <v>41</v>
      </c>
      <c r="H54" s="2"/>
      <c r="I54" s="2"/>
      <c r="J54" s="2"/>
      <c r="K54" s="2"/>
      <c r="L54" s="5" t="s">
        <v>42</v>
      </c>
      <c r="M54" s="5" t="s">
        <v>42</v>
      </c>
      <c r="N54" s="5" t="s">
        <v>42</v>
      </c>
      <c r="O54" s="2"/>
      <c r="P54" s="2"/>
      <c r="Q54" s="2"/>
      <c r="R54" s="2"/>
      <c r="S54" s="2"/>
      <c r="T54" s="2"/>
      <c r="U54" s="2"/>
      <c r="V54" s="5" t="s">
        <v>42</v>
      </c>
      <c r="W54" s="5" t="s">
        <v>42</v>
      </c>
      <c r="X54" s="5" t="s">
        <v>42</v>
      </c>
      <c r="Y54" s="5" t="s">
        <v>42</v>
      </c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</row>
    <row r="55" spans="1:36" x14ac:dyDescent="0.5">
      <c r="A55" s="2"/>
      <c r="B55" s="2" t="s">
        <v>162</v>
      </c>
      <c r="C55" s="2" t="s">
        <v>167</v>
      </c>
      <c r="D55" s="2" t="s">
        <v>168</v>
      </c>
      <c r="E55" s="6" t="s">
        <v>54</v>
      </c>
      <c r="F55" s="4">
        <v>4</v>
      </c>
      <c r="G55" s="4" t="s">
        <v>41</v>
      </c>
      <c r="H55" s="2"/>
      <c r="I55" s="2"/>
      <c r="J55" s="2"/>
      <c r="K55" s="2"/>
      <c r="L55" s="5" t="s">
        <v>42</v>
      </c>
      <c r="M55" s="5" t="s">
        <v>42</v>
      </c>
      <c r="N55" s="5" t="s">
        <v>42</v>
      </c>
      <c r="O55" s="2"/>
      <c r="P55" s="2"/>
      <c r="Q55" s="2"/>
      <c r="R55" s="2"/>
      <c r="S55" s="2"/>
      <c r="T55" s="2"/>
      <c r="U55" s="2"/>
      <c r="V55" s="5" t="s">
        <v>42</v>
      </c>
      <c r="W55" s="5" t="s">
        <v>42</v>
      </c>
      <c r="X55" s="5" t="s">
        <v>42</v>
      </c>
      <c r="Y55" s="5" t="s">
        <v>42</v>
      </c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</row>
    <row r="56" spans="1:36" x14ac:dyDescent="0.5">
      <c r="A56" s="2" t="s">
        <v>169</v>
      </c>
      <c r="B56" s="2" t="s">
        <v>170</v>
      </c>
      <c r="C56" s="2" t="s">
        <v>171</v>
      </c>
      <c r="D56" s="2" t="s">
        <v>172</v>
      </c>
      <c r="E56" s="3" t="s">
        <v>40</v>
      </c>
      <c r="F56" s="4">
        <v>6</v>
      </c>
      <c r="G56" s="4" t="s">
        <v>41</v>
      </c>
      <c r="H56" s="2"/>
      <c r="I56" s="5" t="s">
        <v>42</v>
      </c>
      <c r="J56" s="5" t="s">
        <v>42</v>
      </c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</row>
    <row r="57" spans="1:36" x14ac:dyDescent="0.5">
      <c r="A57" s="2"/>
      <c r="B57" s="2" t="s">
        <v>170</v>
      </c>
      <c r="C57" s="2" t="s">
        <v>173</v>
      </c>
      <c r="D57" s="2" t="s">
        <v>174</v>
      </c>
      <c r="E57" s="3" t="s">
        <v>40</v>
      </c>
      <c r="F57" s="4">
        <v>6</v>
      </c>
      <c r="G57" s="4" t="s">
        <v>41</v>
      </c>
      <c r="H57" s="2"/>
      <c r="I57" s="5" t="s">
        <v>42</v>
      </c>
      <c r="J57" s="5" t="s">
        <v>42</v>
      </c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</row>
    <row r="58" spans="1:36" x14ac:dyDescent="0.5">
      <c r="A58" s="2"/>
      <c r="B58" s="2" t="s">
        <v>175</v>
      </c>
      <c r="C58" s="2" t="s">
        <v>176</v>
      </c>
      <c r="D58" s="2" t="s">
        <v>177</v>
      </c>
      <c r="E58" s="6" t="s">
        <v>54</v>
      </c>
      <c r="F58" s="4">
        <v>4</v>
      </c>
      <c r="G58" s="4" t="s">
        <v>41</v>
      </c>
      <c r="H58" s="2"/>
      <c r="I58" s="5" t="s">
        <v>42</v>
      </c>
      <c r="J58" s="5" t="s">
        <v>42</v>
      </c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</row>
    <row r="59" spans="1:36" x14ac:dyDescent="0.5">
      <c r="A59" s="2"/>
      <c r="B59" s="2" t="s">
        <v>175</v>
      </c>
      <c r="C59" s="2" t="s">
        <v>178</v>
      </c>
      <c r="D59" s="2" t="s">
        <v>179</v>
      </c>
      <c r="E59" s="7" t="s">
        <v>77</v>
      </c>
      <c r="F59" s="4">
        <v>3</v>
      </c>
      <c r="G59" s="4" t="s">
        <v>41</v>
      </c>
      <c r="H59" s="2"/>
      <c r="I59" s="5" t="s">
        <v>42</v>
      </c>
      <c r="J59" s="5" t="s">
        <v>42</v>
      </c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</row>
    <row r="60" spans="1:36" x14ac:dyDescent="0.5">
      <c r="A60" s="2"/>
      <c r="B60" s="2" t="s">
        <v>180</v>
      </c>
      <c r="C60" s="2" t="s">
        <v>181</v>
      </c>
      <c r="D60" s="2" t="s">
        <v>182</v>
      </c>
      <c r="E60" s="6" t="s">
        <v>54</v>
      </c>
      <c r="F60" s="4">
        <v>4</v>
      </c>
      <c r="G60" s="4" t="s">
        <v>41</v>
      </c>
      <c r="H60" s="2"/>
      <c r="I60" s="5" t="s">
        <v>42</v>
      </c>
      <c r="J60" s="5" t="s">
        <v>42</v>
      </c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</row>
    <row r="61" spans="1:36" x14ac:dyDescent="0.5">
      <c r="A61" s="2"/>
      <c r="B61" s="2" t="s">
        <v>180</v>
      </c>
      <c r="C61" s="2" t="s">
        <v>183</v>
      </c>
      <c r="D61" s="2" t="s">
        <v>184</v>
      </c>
      <c r="E61" s="6" t="s">
        <v>54</v>
      </c>
      <c r="F61" s="4">
        <v>4</v>
      </c>
      <c r="G61" s="4" t="s">
        <v>41</v>
      </c>
      <c r="H61" s="2"/>
      <c r="I61" s="5" t="s">
        <v>42</v>
      </c>
      <c r="J61" s="5" t="s">
        <v>42</v>
      </c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</row>
    <row r="62" spans="1:36" x14ac:dyDescent="0.5">
      <c r="A62" s="2"/>
      <c r="B62" s="2" t="s">
        <v>180</v>
      </c>
      <c r="C62" s="2" t="s">
        <v>185</v>
      </c>
      <c r="D62" s="2" t="s">
        <v>186</v>
      </c>
      <c r="E62" s="7" t="s">
        <v>77</v>
      </c>
      <c r="F62" s="4">
        <v>3</v>
      </c>
      <c r="G62" s="4" t="s">
        <v>41</v>
      </c>
      <c r="H62" s="2"/>
      <c r="I62" s="5" t="s">
        <v>42</v>
      </c>
      <c r="J62" s="5" t="s">
        <v>42</v>
      </c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</row>
    <row r="63" spans="1:36" x14ac:dyDescent="0.5">
      <c r="A63" s="2"/>
      <c r="B63" s="2" t="s">
        <v>187</v>
      </c>
      <c r="C63" s="2" t="s">
        <v>188</v>
      </c>
      <c r="D63" s="2" t="s">
        <v>189</v>
      </c>
      <c r="E63" s="3" t="s">
        <v>40</v>
      </c>
      <c r="F63" s="4">
        <v>6</v>
      </c>
      <c r="G63" s="4" t="s">
        <v>41</v>
      </c>
      <c r="H63" s="2"/>
      <c r="I63" s="5" t="s">
        <v>42</v>
      </c>
      <c r="J63" s="5" t="s">
        <v>42</v>
      </c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</row>
    <row r="64" spans="1:36" x14ac:dyDescent="0.5">
      <c r="A64" s="2"/>
      <c r="B64" s="2" t="s">
        <v>187</v>
      </c>
      <c r="C64" s="2" t="s">
        <v>190</v>
      </c>
      <c r="D64" s="2" t="s">
        <v>191</v>
      </c>
      <c r="E64" s="6" t="s">
        <v>54</v>
      </c>
      <c r="F64" s="4">
        <v>4</v>
      </c>
      <c r="G64" s="4" t="s">
        <v>41</v>
      </c>
      <c r="H64" s="2"/>
      <c r="I64" s="5" t="s">
        <v>42</v>
      </c>
      <c r="J64" s="5" t="s">
        <v>42</v>
      </c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</row>
    <row r="65" spans="1:36" x14ac:dyDescent="0.5">
      <c r="A65" s="2"/>
      <c r="B65" s="2" t="s">
        <v>187</v>
      </c>
      <c r="C65" s="2" t="s">
        <v>192</v>
      </c>
      <c r="D65" s="2" t="s">
        <v>193</v>
      </c>
      <c r="E65" s="7" t="s">
        <v>77</v>
      </c>
      <c r="F65" s="4">
        <v>3</v>
      </c>
      <c r="G65" s="4" t="s">
        <v>41</v>
      </c>
      <c r="H65" s="2"/>
      <c r="I65" s="5" t="s">
        <v>42</v>
      </c>
      <c r="J65" s="5" t="s">
        <v>42</v>
      </c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</row>
    <row r="66" spans="1:36" x14ac:dyDescent="0.5">
      <c r="A66" s="2"/>
      <c r="B66" s="2" t="s">
        <v>187</v>
      </c>
      <c r="C66" s="2" t="s">
        <v>194</v>
      </c>
      <c r="D66" s="2" t="s">
        <v>195</v>
      </c>
      <c r="E66" s="7" t="s">
        <v>77</v>
      </c>
      <c r="F66" s="4">
        <v>3</v>
      </c>
      <c r="G66" s="4" t="s">
        <v>41</v>
      </c>
      <c r="H66" s="2"/>
      <c r="I66" s="5" t="s">
        <v>42</v>
      </c>
      <c r="J66" s="5" t="s">
        <v>42</v>
      </c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</row>
    <row r="67" spans="1:36" x14ac:dyDescent="0.5">
      <c r="A67" s="2"/>
      <c r="B67" s="2" t="s">
        <v>196</v>
      </c>
      <c r="C67" s="2" t="s">
        <v>197</v>
      </c>
      <c r="D67" s="2" t="s">
        <v>198</v>
      </c>
      <c r="E67" s="7" t="s">
        <v>77</v>
      </c>
      <c r="F67" s="4">
        <v>3</v>
      </c>
      <c r="G67" s="4" t="s">
        <v>41</v>
      </c>
      <c r="H67" s="2"/>
      <c r="I67" s="5" t="s">
        <v>42</v>
      </c>
      <c r="J67" s="5" t="s">
        <v>42</v>
      </c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</row>
    <row r="68" spans="1:36" x14ac:dyDescent="0.5">
      <c r="A68" s="2" t="s">
        <v>199</v>
      </c>
      <c r="B68" s="2" t="s">
        <v>200</v>
      </c>
      <c r="C68" s="2" t="s">
        <v>201</v>
      </c>
      <c r="D68" s="2" t="s">
        <v>202</v>
      </c>
      <c r="E68" s="7" t="s">
        <v>77</v>
      </c>
      <c r="F68" s="4">
        <v>3</v>
      </c>
      <c r="G68" s="4" t="s">
        <v>41</v>
      </c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5" t="s">
        <v>42</v>
      </c>
      <c r="AB68" s="5" t="s">
        <v>42</v>
      </c>
      <c r="AC68" s="5" t="s">
        <v>42</v>
      </c>
      <c r="AD68" s="2"/>
      <c r="AE68" s="2"/>
      <c r="AF68" s="2"/>
      <c r="AG68" s="2"/>
      <c r="AH68" s="2"/>
      <c r="AI68" s="2"/>
      <c r="AJ68" s="2"/>
    </row>
    <row r="69" spans="1:36" x14ac:dyDescent="0.5">
      <c r="A69" s="2"/>
      <c r="B69" s="2" t="s">
        <v>200</v>
      </c>
      <c r="C69" s="2" t="s">
        <v>203</v>
      </c>
      <c r="D69" s="2" t="s">
        <v>204</v>
      </c>
      <c r="E69" s="7" t="s">
        <v>77</v>
      </c>
      <c r="F69" s="4">
        <v>3</v>
      </c>
      <c r="G69" s="4" t="s">
        <v>41</v>
      </c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5" t="s">
        <v>42</v>
      </c>
      <c r="AB69" s="5" t="s">
        <v>42</v>
      </c>
      <c r="AC69" s="5" t="s">
        <v>42</v>
      </c>
      <c r="AD69" s="2"/>
      <c r="AE69" s="2"/>
      <c r="AF69" s="2"/>
      <c r="AG69" s="2"/>
      <c r="AH69" s="2"/>
      <c r="AI69" s="2"/>
      <c r="AJ69" s="2"/>
    </row>
    <row r="70" spans="1:36" x14ac:dyDescent="0.5">
      <c r="A70" s="2"/>
      <c r="B70" s="2" t="s">
        <v>200</v>
      </c>
      <c r="C70" s="2" t="s">
        <v>205</v>
      </c>
      <c r="D70" s="2" t="s">
        <v>206</v>
      </c>
      <c r="E70" s="7" t="s">
        <v>77</v>
      </c>
      <c r="F70" s="4">
        <v>3</v>
      </c>
      <c r="G70" s="4" t="s">
        <v>41</v>
      </c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5" t="s">
        <v>42</v>
      </c>
      <c r="AB70" s="5" t="s">
        <v>42</v>
      </c>
      <c r="AC70" s="5" t="s">
        <v>42</v>
      </c>
      <c r="AD70" s="2"/>
      <c r="AE70" s="2"/>
      <c r="AF70" s="2"/>
      <c r="AG70" s="2"/>
      <c r="AH70" s="2"/>
      <c r="AI70" s="2"/>
      <c r="AJ70" s="2"/>
    </row>
    <row r="71" spans="1:36" x14ac:dyDescent="0.5">
      <c r="A71" s="2"/>
      <c r="B71" s="2" t="s">
        <v>207</v>
      </c>
      <c r="C71" s="2" t="s">
        <v>208</v>
      </c>
      <c r="D71" s="2" t="s">
        <v>209</v>
      </c>
      <c r="E71" s="6" t="s">
        <v>54</v>
      </c>
      <c r="F71" s="4">
        <v>4</v>
      </c>
      <c r="G71" s="4" t="s">
        <v>41</v>
      </c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5" t="s">
        <v>42</v>
      </c>
      <c r="AB71" s="5" t="s">
        <v>42</v>
      </c>
      <c r="AC71" s="5" t="s">
        <v>42</v>
      </c>
      <c r="AD71" s="2"/>
      <c r="AE71" s="2"/>
      <c r="AF71" s="2"/>
      <c r="AG71" s="2"/>
      <c r="AH71" s="2"/>
      <c r="AI71" s="2"/>
      <c r="AJ71" s="2"/>
    </row>
    <row r="72" spans="1:36" x14ac:dyDescent="0.5">
      <c r="A72" s="2"/>
      <c r="B72" s="2" t="s">
        <v>207</v>
      </c>
      <c r="C72" s="2" t="s">
        <v>210</v>
      </c>
      <c r="D72" s="2" t="s">
        <v>211</v>
      </c>
      <c r="E72" s="6" t="s">
        <v>54</v>
      </c>
      <c r="F72" s="4">
        <v>4</v>
      </c>
      <c r="G72" s="4" t="s">
        <v>41</v>
      </c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5" t="s">
        <v>42</v>
      </c>
      <c r="AB72" s="5" t="s">
        <v>42</v>
      </c>
      <c r="AC72" s="5" t="s">
        <v>42</v>
      </c>
      <c r="AD72" s="2"/>
      <c r="AE72" s="2"/>
      <c r="AF72" s="2"/>
      <c r="AG72" s="2"/>
      <c r="AH72" s="2"/>
      <c r="AI72" s="2"/>
      <c r="AJ72" s="2"/>
    </row>
    <row r="73" spans="1:36" x14ac:dyDescent="0.5">
      <c r="A73" s="2"/>
      <c r="B73" s="2" t="s">
        <v>207</v>
      </c>
      <c r="C73" s="2" t="s">
        <v>212</v>
      </c>
      <c r="D73" s="2" t="s">
        <v>213</v>
      </c>
      <c r="E73" s="6" t="s">
        <v>54</v>
      </c>
      <c r="F73" s="4">
        <v>4</v>
      </c>
      <c r="G73" s="4" t="s">
        <v>41</v>
      </c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5" t="s">
        <v>42</v>
      </c>
      <c r="AB73" s="5" t="s">
        <v>42</v>
      </c>
      <c r="AC73" s="5" t="s">
        <v>42</v>
      </c>
      <c r="AD73" s="2"/>
      <c r="AE73" s="2"/>
      <c r="AF73" s="2"/>
      <c r="AG73" s="2"/>
      <c r="AH73" s="2"/>
      <c r="AI73" s="2"/>
      <c r="AJ73" s="2"/>
    </row>
    <row r="74" spans="1:36" x14ac:dyDescent="0.5">
      <c r="A74" s="2"/>
      <c r="B74" s="2" t="s">
        <v>214</v>
      </c>
      <c r="C74" s="2" t="s">
        <v>215</v>
      </c>
      <c r="D74" s="2" t="s">
        <v>216</v>
      </c>
      <c r="E74" s="6" t="s">
        <v>54</v>
      </c>
      <c r="F74" s="4">
        <v>4</v>
      </c>
      <c r="G74" s="4" t="s">
        <v>41</v>
      </c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5" t="s">
        <v>42</v>
      </c>
      <c r="AB74" s="5" t="s">
        <v>42</v>
      </c>
      <c r="AC74" s="5" t="s">
        <v>42</v>
      </c>
      <c r="AD74" s="2"/>
      <c r="AE74" s="2"/>
      <c r="AF74" s="2"/>
      <c r="AG74" s="2"/>
      <c r="AH74" s="2"/>
      <c r="AI74" s="2"/>
      <c r="AJ74" s="2"/>
    </row>
    <row r="75" spans="1:36" x14ac:dyDescent="0.5">
      <c r="A75" s="2"/>
      <c r="B75" s="2" t="s">
        <v>214</v>
      </c>
      <c r="C75" s="2" t="s">
        <v>217</v>
      </c>
      <c r="D75" s="2" t="s">
        <v>218</v>
      </c>
      <c r="E75" s="7" t="s">
        <v>77</v>
      </c>
      <c r="F75" s="4">
        <v>3</v>
      </c>
      <c r="G75" s="4" t="s">
        <v>41</v>
      </c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5" t="s">
        <v>42</v>
      </c>
      <c r="AB75" s="5" t="s">
        <v>42</v>
      </c>
      <c r="AC75" s="5" t="s">
        <v>42</v>
      </c>
      <c r="AD75" s="2"/>
      <c r="AE75" s="2"/>
      <c r="AF75" s="2"/>
      <c r="AG75" s="2"/>
      <c r="AH75" s="2"/>
      <c r="AI75" s="2"/>
      <c r="AJ75" s="2"/>
    </row>
    <row r="76" spans="1:36" x14ac:dyDescent="0.5">
      <c r="A76" s="2"/>
      <c r="B76" s="2" t="s">
        <v>214</v>
      </c>
      <c r="C76" s="2" t="s">
        <v>219</v>
      </c>
      <c r="D76" s="2" t="s">
        <v>220</v>
      </c>
      <c r="E76" s="6" t="s">
        <v>54</v>
      </c>
      <c r="F76" s="4">
        <v>4</v>
      </c>
      <c r="G76" s="4" t="s">
        <v>41</v>
      </c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5" t="s">
        <v>42</v>
      </c>
      <c r="AB76" s="5" t="s">
        <v>42</v>
      </c>
      <c r="AC76" s="5" t="s">
        <v>42</v>
      </c>
      <c r="AD76" s="2"/>
      <c r="AE76" s="2"/>
      <c r="AF76" s="2"/>
      <c r="AG76" s="2"/>
      <c r="AH76" s="2"/>
      <c r="AI76" s="2"/>
      <c r="AJ76" s="2"/>
    </row>
    <row r="77" spans="1:36" x14ac:dyDescent="0.5">
      <c r="A77" s="2"/>
      <c r="B77" s="2" t="s">
        <v>221</v>
      </c>
      <c r="C77" s="2" t="s">
        <v>222</v>
      </c>
      <c r="D77" s="2" t="s">
        <v>223</v>
      </c>
      <c r="E77" s="7" t="s">
        <v>77</v>
      </c>
      <c r="F77" s="4">
        <v>3</v>
      </c>
      <c r="G77" s="4" t="s">
        <v>41</v>
      </c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5" t="s">
        <v>42</v>
      </c>
      <c r="AB77" s="5" t="s">
        <v>42</v>
      </c>
      <c r="AC77" s="5" t="s">
        <v>42</v>
      </c>
      <c r="AD77" s="2"/>
      <c r="AE77" s="2"/>
      <c r="AF77" s="2"/>
      <c r="AG77" s="2"/>
      <c r="AH77" s="2"/>
      <c r="AI77" s="2"/>
      <c r="AJ77" s="2"/>
    </row>
    <row r="78" spans="1:36" x14ac:dyDescent="0.5">
      <c r="A78" s="2"/>
      <c r="B78" s="2" t="s">
        <v>221</v>
      </c>
      <c r="C78" s="2" t="s">
        <v>224</v>
      </c>
      <c r="D78" s="2" t="s">
        <v>225</v>
      </c>
      <c r="E78" s="7" t="s">
        <v>77</v>
      </c>
      <c r="F78" s="4">
        <v>3</v>
      </c>
      <c r="G78" s="4" t="s">
        <v>41</v>
      </c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5" t="s">
        <v>42</v>
      </c>
      <c r="AB78" s="5" t="s">
        <v>42</v>
      </c>
      <c r="AC78" s="5" t="s">
        <v>42</v>
      </c>
      <c r="AD78" s="2"/>
      <c r="AE78" s="2"/>
      <c r="AF78" s="2"/>
      <c r="AG78" s="2"/>
      <c r="AH78" s="2"/>
      <c r="AI78" s="2"/>
      <c r="AJ78" s="2"/>
    </row>
    <row r="79" spans="1:36" x14ac:dyDescent="0.5">
      <c r="A79" s="2"/>
      <c r="B79" s="2" t="s">
        <v>221</v>
      </c>
      <c r="C79" s="2" t="s">
        <v>226</v>
      </c>
      <c r="D79" s="2" t="s">
        <v>227</v>
      </c>
      <c r="E79" s="7" t="s">
        <v>77</v>
      </c>
      <c r="F79" s="4">
        <v>3</v>
      </c>
      <c r="G79" s="4" t="s">
        <v>41</v>
      </c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5" t="s">
        <v>42</v>
      </c>
      <c r="AB79" s="5" t="s">
        <v>42</v>
      </c>
      <c r="AC79" s="5" t="s">
        <v>42</v>
      </c>
      <c r="AD79" s="2"/>
      <c r="AE79" s="2"/>
      <c r="AF79" s="2"/>
      <c r="AG79" s="2"/>
      <c r="AH79" s="2"/>
      <c r="AI79" s="2"/>
      <c r="AJ79" s="2"/>
    </row>
    <row r="80" spans="1:36" x14ac:dyDescent="0.5">
      <c r="A80" s="2"/>
      <c r="B80" s="2" t="s">
        <v>228</v>
      </c>
      <c r="C80" s="2" t="s">
        <v>229</v>
      </c>
      <c r="D80" s="2" t="s">
        <v>230</v>
      </c>
      <c r="E80" s="7" t="s">
        <v>77</v>
      </c>
      <c r="F80" s="4">
        <v>3</v>
      </c>
      <c r="G80" s="4" t="s">
        <v>41</v>
      </c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5" t="s">
        <v>42</v>
      </c>
      <c r="AB80" s="5" t="s">
        <v>42</v>
      </c>
      <c r="AC80" s="5" t="s">
        <v>42</v>
      </c>
      <c r="AD80" s="2"/>
      <c r="AE80" s="2"/>
      <c r="AF80" s="2"/>
      <c r="AG80" s="2"/>
      <c r="AH80" s="2"/>
      <c r="AI80" s="2"/>
      <c r="AJ80" s="2"/>
    </row>
    <row r="81" spans="1:36" x14ac:dyDescent="0.5">
      <c r="A81" s="2"/>
      <c r="B81" s="2" t="s">
        <v>228</v>
      </c>
      <c r="C81" s="2" t="s">
        <v>231</v>
      </c>
      <c r="D81" s="2" t="s">
        <v>232</v>
      </c>
      <c r="E81" s="7" t="s">
        <v>77</v>
      </c>
      <c r="F81" s="4">
        <v>3</v>
      </c>
      <c r="G81" s="4" t="s">
        <v>41</v>
      </c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5" t="s">
        <v>42</v>
      </c>
      <c r="AB81" s="5" t="s">
        <v>42</v>
      </c>
      <c r="AC81" s="5" t="s">
        <v>42</v>
      </c>
      <c r="AD81" s="2"/>
      <c r="AE81" s="2"/>
      <c r="AF81" s="2"/>
      <c r="AG81" s="2"/>
      <c r="AH81" s="2"/>
      <c r="AI81" s="2"/>
      <c r="AJ81" s="2"/>
    </row>
    <row r="82" spans="1:36" x14ac:dyDescent="0.5">
      <c r="A82" s="2" t="s">
        <v>233</v>
      </c>
      <c r="B82" s="2" t="s">
        <v>234</v>
      </c>
      <c r="C82" s="2" t="s">
        <v>235</v>
      </c>
      <c r="D82" s="2" t="s">
        <v>236</v>
      </c>
      <c r="E82" s="6" t="s">
        <v>54</v>
      </c>
      <c r="F82" s="4">
        <v>4</v>
      </c>
      <c r="G82" s="4" t="s">
        <v>41</v>
      </c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5" t="s">
        <v>42</v>
      </c>
      <c r="AG82" s="5" t="s">
        <v>42</v>
      </c>
      <c r="AH82" s="2"/>
      <c r="AI82" s="2"/>
      <c r="AJ82" s="2"/>
    </row>
    <row r="83" spans="1:36" x14ac:dyDescent="0.5">
      <c r="A83" s="2"/>
      <c r="B83" s="2" t="s">
        <v>234</v>
      </c>
      <c r="C83" s="2" t="s">
        <v>237</v>
      </c>
      <c r="D83" s="2" t="s">
        <v>238</v>
      </c>
      <c r="E83" s="6" t="s">
        <v>54</v>
      </c>
      <c r="F83" s="4">
        <v>4</v>
      </c>
      <c r="G83" s="4" t="s">
        <v>41</v>
      </c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5" t="s">
        <v>42</v>
      </c>
      <c r="AG83" s="5" t="s">
        <v>42</v>
      </c>
      <c r="AH83" s="2"/>
      <c r="AI83" s="2"/>
      <c r="AJ83" s="2"/>
    </row>
    <row r="84" spans="1:36" x14ac:dyDescent="0.5">
      <c r="A84" s="2"/>
      <c r="B84" s="2" t="s">
        <v>234</v>
      </c>
      <c r="C84" s="2" t="s">
        <v>239</v>
      </c>
      <c r="D84" s="2" t="s">
        <v>240</v>
      </c>
      <c r="E84" s="7" t="s">
        <v>77</v>
      </c>
      <c r="F84" s="4">
        <v>3</v>
      </c>
      <c r="G84" s="4" t="s">
        <v>41</v>
      </c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5" t="s">
        <v>42</v>
      </c>
      <c r="AG84" s="5" t="s">
        <v>42</v>
      </c>
      <c r="AH84" s="2"/>
      <c r="AI84" s="2"/>
      <c r="AJ84" s="2"/>
    </row>
    <row r="85" spans="1:36" x14ac:dyDescent="0.5">
      <c r="A85" s="2"/>
      <c r="B85" s="2" t="s">
        <v>241</v>
      </c>
      <c r="C85" s="2" t="s">
        <v>242</v>
      </c>
      <c r="D85" s="2" t="s">
        <v>243</v>
      </c>
      <c r="E85" s="7" t="s">
        <v>77</v>
      </c>
      <c r="F85" s="4">
        <v>3</v>
      </c>
      <c r="G85" s="4" t="s">
        <v>41</v>
      </c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5" t="s">
        <v>42</v>
      </c>
      <c r="AG85" s="5" t="s">
        <v>42</v>
      </c>
      <c r="AH85" s="2"/>
      <c r="AI85" s="2"/>
      <c r="AJ85" s="2"/>
    </row>
    <row r="86" spans="1:36" x14ac:dyDescent="0.5">
      <c r="A86" s="2"/>
      <c r="B86" s="2" t="s">
        <v>241</v>
      </c>
      <c r="C86" s="2" t="s">
        <v>244</v>
      </c>
      <c r="D86" s="2" t="s">
        <v>245</v>
      </c>
      <c r="E86" s="7" t="s">
        <v>77</v>
      </c>
      <c r="F86" s="4">
        <v>3</v>
      </c>
      <c r="G86" s="4" t="s">
        <v>41</v>
      </c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5" t="s">
        <v>42</v>
      </c>
      <c r="AG86" s="5" t="s">
        <v>42</v>
      </c>
      <c r="AH86" s="2"/>
      <c r="AI86" s="2"/>
      <c r="AJ86" s="2"/>
    </row>
    <row r="87" spans="1:36" x14ac:dyDescent="0.5">
      <c r="A87" s="2"/>
      <c r="B87" s="2" t="s">
        <v>241</v>
      </c>
      <c r="C87" s="2" t="s">
        <v>246</v>
      </c>
      <c r="D87" s="2" t="s">
        <v>247</v>
      </c>
      <c r="E87" s="6" t="s">
        <v>54</v>
      </c>
      <c r="F87" s="4">
        <v>4</v>
      </c>
      <c r="G87" s="4" t="s">
        <v>41</v>
      </c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5" t="s">
        <v>42</v>
      </c>
      <c r="AG87" s="5" t="s">
        <v>42</v>
      </c>
      <c r="AH87" s="2"/>
      <c r="AI87" s="2"/>
      <c r="AJ87" s="2"/>
    </row>
    <row r="88" spans="1:36" x14ac:dyDescent="0.5">
      <c r="A88" s="2"/>
      <c r="B88" s="2" t="s">
        <v>241</v>
      </c>
      <c r="C88" s="2" t="s">
        <v>248</v>
      </c>
      <c r="D88" s="2" t="s">
        <v>249</v>
      </c>
      <c r="E88" s="6" t="s">
        <v>54</v>
      </c>
      <c r="F88" s="4">
        <v>4</v>
      </c>
      <c r="G88" s="4" t="s">
        <v>41</v>
      </c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5" t="s">
        <v>42</v>
      </c>
      <c r="AG88" s="5" t="s">
        <v>42</v>
      </c>
      <c r="AH88" s="2"/>
      <c r="AI88" s="2"/>
      <c r="AJ88" s="2"/>
    </row>
    <row r="89" spans="1:36" x14ac:dyDescent="0.5">
      <c r="A89" s="2"/>
      <c r="B89" s="2" t="s">
        <v>241</v>
      </c>
      <c r="C89" s="2" t="s">
        <v>250</v>
      </c>
      <c r="D89" s="2" t="s">
        <v>251</v>
      </c>
      <c r="E89" s="6" t="s">
        <v>54</v>
      </c>
      <c r="F89" s="4">
        <v>4</v>
      </c>
      <c r="G89" s="4" t="s">
        <v>41</v>
      </c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5" t="s">
        <v>42</v>
      </c>
      <c r="AG89" s="5" t="s">
        <v>42</v>
      </c>
      <c r="AH89" s="2"/>
      <c r="AI89" s="2"/>
      <c r="AJ89" s="2"/>
    </row>
    <row r="90" spans="1:36" x14ac:dyDescent="0.5">
      <c r="A90" s="2"/>
      <c r="B90" s="2" t="s">
        <v>252</v>
      </c>
      <c r="C90" s="2" t="s">
        <v>253</v>
      </c>
      <c r="D90" s="2" t="s">
        <v>254</v>
      </c>
      <c r="E90" s="6" t="s">
        <v>54</v>
      </c>
      <c r="F90" s="4">
        <v>4</v>
      </c>
      <c r="G90" s="4" t="s">
        <v>41</v>
      </c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5" t="s">
        <v>42</v>
      </c>
      <c r="AG90" s="5" t="s">
        <v>42</v>
      </c>
      <c r="AH90" s="2"/>
      <c r="AI90" s="2"/>
      <c r="AJ90" s="2"/>
    </row>
    <row r="91" spans="1:36" x14ac:dyDescent="0.5">
      <c r="A91" s="2"/>
      <c r="B91" s="2" t="s">
        <v>252</v>
      </c>
      <c r="C91" s="2" t="s">
        <v>255</v>
      </c>
      <c r="D91" s="2" t="s">
        <v>256</v>
      </c>
      <c r="E91" s="3" t="s">
        <v>40</v>
      </c>
      <c r="F91" s="4">
        <v>6</v>
      </c>
      <c r="G91" s="4" t="s">
        <v>41</v>
      </c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5" t="s">
        <v>42</v>
      </c>
      <c r="AG91" s="5" t="s">
        <v>42</v>
      </c>
      <c r="AH91" s="2"/>
      <c r="AI91" s="2"/>
      <c r="AJ91" s="2"/>
    </row>
    <row r="92" spans="1:36" x14ac:dyDescent="0.5">
      <c r="A92" s="2"/>
      <c r="B92" s="2" t="s">
        <v>252</v>
      </c>
      <c r="C92" s="2" t="s">
        <v>257</v>
      </c>
      <c r="D92" s="2" t="s">
        <v>258</v>
      </c>
      <c r="E92" s="7" t="s">
        <v>77</v>
      </c>
      <c r="F92" s="4">
        <v>3</v>
      </c>
      <c r="G92" s="4" t="s">
        <v>41</v>
      </c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5" t="s">
        <v>42</v>
      </c>
      <c r="AG92" s="5" t="s">
        <v>42</v>
      </c>
      <c r="AH92" s="2"/>
      <c r="AI92" s="2"/>
      <c r="AJ92" s="2"/>
    </row>
    <row r="93" spans="1:36" x14ac:dyDescent="0.5">
      <c r="A93" s="2"/>
      <c r="B93" s="2" t="s">
        <v>252</v>
      </c>
      <c r="C93" s="2" t="s">
        <v>259</v>
      </c>
      <c r="D93" s="2" t="s">
        <v>260</v>
      </c>
      <c r="E93" s="7" t="s">
        <v>77</v>
      </c>
      <c r="F93" s="4">
        <v>3</v>
      </c>
      <c r="G93" s="4" t="s">
        <v>41</v>
      </c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5" t="s">
        <v>42</v>
      </c>
      <c r="AG93" s="5" t="s">
        <v>42</v>
      </c>
      <c r="AH93" s="2"/>
      <c r="AI93" s="2"/>
      <c r="AJ93" s="2"/>
    </row>
    <row r="94" spans="1:36" x14ac:dyDescent="0.5">
      <c r="A94" s="2" t="s">
        <v>261</v>
      </c>
      <c r="B94" s="2" t="s">
        <v>262</v>
      </c>
      <c r="C94" s="2" t="s">
        <v>263</v>
      </c>
      <c r="D94" s="2" t="s">
        <v>264</v>
      </c>
      <c r="E94" s="6" t="s">
        <v>54</v>
      </c>
      <c r="F94" s="4">
        <v>4</v>
      </c>
      <c r="G94" s="4" t="s">
        <v>41</v>
      </c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5" t="s">
        <v>42</v>
      </c>
      <c r="AF94" s="2"/>
      <c r="AG94" s="2"/>
      <c r="AH94" s="5" t="s">
        <v>42</v>
      </c>
      <c r="AI94" s="2"/>
      <c r="AJ94" s="2"/>
    </row>
    <row r="95" spans="1:36" x14ac:dyDescent="0.5">
      <c r="A95" s="2"/>
      <c r="B95" s="2" t="s">
        <v>262</v>
      </c>
      <c r="C95" s="2" t="s">
        <v>265</v>
      </c>
      <c r="D95" s="2" t="s">
        <v>266</v>
      </c>
      <c r="E95" s="6" t="s">
        <v>54</v>
      </c>
      <c r="F95" s="4">
        <v>4</v>
      </c>
      <c r="G95" s="4" t="s">
        <v>41</v>
      </c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5" t="s">
        <v>42</v>
      </c>
      <c r="AF95" s="2"/>
      <c r="AG95" s="2"/>
      <c r="AH95" s="5" t="s">
        <v>42</v>
      </c>
      <c r="AI95" s="2"/>
      <c r="AJ95" s="2"/>
    </row>
    <row r="96" spans="1:36" x14ac:dyDescent="0.5">
      <c r="A96" s="2"/>
      <c r="B96" s="2" t="s">
        <v>262</v>
      </c>
      <c r="C96" s="2" t="s">
        <v>267</v>
      </c>
      <c r="D96" s="2" t="s">
        <v>268</v>
      </c>
      <c r="E96" s="6" t="s">
        <v>54</v>
      </c>
      <c r="F96" s="4">
        <v>4</v>
      </c>
      <c r="G96" s="4" t="s">
        <v>41</v>
      </c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5" t="s">
        <v>42</v>
      </c>
      <c r="AF96" s="2"/>
      <c r="AG96" s="2"/>
      <c r="AH96" s="5" t="s">
        <v>42</v>
      </c>
      <c r="AI96" s="2"/>
      <c r="AJ96" s="2"/>
    </row>
    <row r="97" spans="1:36" x14ac:dyDescent="0.5">
      <c r="A97" s="2"/>
      <c r="B97" s="2" t="s">
        <v>262</v>
      </c>
      <c r="C97" s="2" t="s">
        <v>269</v>
      </c>
      <c r="D97" s="2" t="s">
        <v>270</v>
      </c>
      <c r="E97" s="7" t="s">
        <v>77</v>
      </c>
      <c r="F97" s="4">
        <v>3</v>
      </c>
      <c r="G97" s="4" t="s">
        <v>41</v>
      </c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5" t="s">
        <v>42</v>
      </c>
      <c r="AF97" s="2"/>
      <c r="AG97" s="2"/>
      <c r="AH97" s="5" t="s">
        <v>42</v>
      </c>
      <c r="AI97" s="2"/>
      <c r="AJ97" s="2"/>
    </row>
    <row r="98" spans="1:36" x14ac:dyDescent="0.5">
      <c r="A98" s="2"/>
      <c r="B98" s="2" t="s">
        <v>271</v>
      </c>
      <c r="C98" s="2" t="s">
        <v>272</v>
      </c>
      <c r="D98" s="2" t="s">
        <v>273</v>
      </c>
      <c r="E98" s="3" t="s">
        <v>40</v>
      </c>
      <c r="F98" s="4">
        <v>6</v>
      </c>
      <c r="G98" s="4" t="s">
        <v>41</v>
      </c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5" t="s">
        <v>42</v>
      </c>
      <c r="AF98" s="2"/>
      <c r="AG98" s="2"/>
      <c r="AH98" s="5" t="s">
        <v>42</v>
      </c>
      <c r="AI98" s="2"/>
      <c r="AJ98" s="2"/>
    </row>
    <row r="99" spans="1:36" x14ac:dyDescent="0.5">
      <c r="A99" s="2"/>
      <c r="B99" s="2" t="s">
        <v>271</v>
      </c>
      <c r="C99" s="2" t="s">
        <v>274</v>
      </c>
      <c r="D99" s="2" t="s">
        <v>275</v>
      </c>
      <c r="E99" s="6" t="s">
        <v>54</v>
      </c>
      <c r="F99" s="4">
        <v>4</v>
      </c>
      <c r="G99" s="4" t="s">
        <v>41</v>
      </c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5" t="s">
        <v>42</v>
      </c>
      <c r="AF99" s="2"/>
      <c r="AG99" s="2"/>
      <c r="AH99" s="5" t="s">
        <v>42</v>
      </c>
      <c r="AI99" s="2"/>
      <c r="AJ99" s="2"/>
    </row>
    <row r="100" spans="1:36" x14ac:dyDescent="0.5">
      <c r="A100" s="2"/>
      <c r="B100" s="2" t="s">
        <v>271</v>
      </c>
      <c r="C100" s="2" t="s">
        <v>276</v>
      </c>
      <c r="D100" s="2" t="s">
        <v>277</v>
      </c>
      <c r="E100" s="6" t="s">
        <v>54</v>
      </c>
      <c r="F100" s="4">
        <v>4</v>
      </c>
      <c r="G100" s="4" t="s">
        <v>41</v>
      </c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5" t="s">
        <v>42</v>
      </c>
      <c r="AF100" s="2"/>
      <c r="AG100" s="2"/>
      <c r="AH100" s="5" t="s">
        <v>42</v>
      </c>
      <c r="AI100" s="2"/>
      <c r="AJ100" s="2"/>
    </row>
    <row r="101" spans="1:36" x14ac:dyDescent="0.5">
      <c r="A101" s="2"/>
      <c r="B101" s="2" t="s">
        <v>278</v>
      </c>
      <c r="C101" s="2" t="s">
        <v>279</v>
      </c>
      <c r="D101" s="2" t="s">
        <v>280</v>
      </c>
      <c r="E101" s="7" t="s">
        <v>77</v>
      </c>
      <c r="F101" s="4">
        <v>3</v>
      </c>
      <c r="G101" s="4" t="s">
        <v>41</v>
      </c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5" t="s">
        <v>42</v>
      </c>
      <c r="AF101" s="2"/>
      <c r="AG101" s="2"/>
      <c r="AH101" s="5" t="s">
        <v>42</v>
      </c>
      <c r="AI101" s="2"/>
      <c r="AJ101" s="2"/>
    </row>
    <row r="102" spans="1:36" x14ac:dyDescent="0.5">
      <c r="A102" s="2"/>
      <c r="B102" s="2" t="s">
        <v>278</v>
      </c>
      <c r="C102" s="2" t="s">
        <v>281</v>
      </c>
      <c r="D102" s="2" t="s">
        <v>282</v>
      </c>
      <c r="E102" s="7" t="s">
        <v>77</v>
      </c>
      <c r="F102" s="4">
        <v>3</v>
      </c>
      <c r="G102" s="4" t="s">
        <v>41</v>
      </c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5" t="s">
        <v>42</v>
      </c>
      <c r="AF102" s="2"/>
      <c r="AG102" s="2"/>
      <c r="AH102" s="5" t="s">
        <v>42</v>
      </c>
      <c r="AI102" s="2"/>
      <c r="AJ102" s="2"/>
    </row>
    <row r="103" spans="1:36" x14ac:dyDescent="0.5">
      <c r="A103" s="2" t="s">
        <v>283</v>
      </c>
      <c r="B103" s="2" t="s">
        <v>284</v>
      </c>
      <c r="C103" s="2" t="s">
        <v>285</v>
      </c>
      <c r="D103" s="2" t="s">
        <v>286</v>
      </c>
      <c r="E103" s="3" t="s">
        <v>40</v>
      </c>
      <c r="F103" s="4">
        <v>6</v>
      </c>
      <c r="G103" s="4" t="s">
        <v>41</v>
      </c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5" t="s">
        <v>42</v>
      </c>
      <c r="AJ103" s="2"/>
    </row>
    <row r="104" spans="1:36" x14ac:dyDescent="0.5">
      <c r="A104" s="2"/>
      <c r="B104" s="2" t="s">
        <v>284</v>
      </c>
      <c r="C104" s="2" t="s">
        <v>287</v>
      </c>
      <c r="D104" s="2" t="s">
        <v>288</v>
      </c>
      <c r="E104" s="3" t="s">
        <v>40</v>
      </c>
      <c r="F104" s="4">
        <v>6</v>
      </c>
      <c r="G104" s="4" t="s">
        <v>41</v>
      </c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5" t="s">
        <v>42</v>
      </c>
      <c r="AJ104" s="2"/>
    </row>
    <row r="105" spans="1:36" x14ac:dyDescent="0.5">
      <c r="A105" s="2"/>
      <c r="B105" s="2" t="s">
        <v>289</v>
      </c>
      <c r="C105" s="2" t="s">
        <v>290</v>
      </c>
      <c r="D105" s="2" t="s">
        <v>291</v>
      </c>
      <c r="E105" s="6" t="s">
        <v>54</v>
      </c>
      <c r="F105" s="4">
        <v>4</v>
      </c>
      <c r="G105" s="4" t="s">
        <v>41</v>
      </c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5" t="s">
        <v>42</v>
      </c>
      <c r="AJ105" s="2"/>
    </row>
    <row r="106" spans="1:36" x14ac:dyDescent="0.5">
      <c r="A106" s="2"/>
      <c r="B106" s="2" t="s">
        <v>289</v>
      </c>
      <c r="C106" s="2" t="s">
        <v>292</v>
      </c>
      <c r="D106" s="2" t="s">
        <v>293</v>
      </c>
      <c r="E106" s="6" t="s">
        <v>54</v>
      </c>
      <c r="F106" s="4">
        <v>4</v>
      </c>
      <c r="G106" s="4" t="s">
        <v>41</v>
      </c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5" t="s">
        <v>42</v>
      </c>
      <c r="AJ106" s="2"/>
    </row>
    <row r="107" spans="1:36" x14ac:dyDescent="0.5">
      <c r="A107" s="2"/>
      <c r="B107" s="2" t="s">
        <v>294</v>
      </c>
      <c r="C107" s="2" t="s">
        <v>295</v>
      </c>
      <c r="D107" s="2" t="s">
        <v>296</v>
      </c>
      <c r="E107" s="6" t="s">
        <v>54</v>
      </c>
      <c r="F107" s="4">
        <v>4</v>
      </c>
      <c r="G107" s="4" t="s">
        <v>41</v>
      </c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5" t="s">
        <v>42</v>
      </c>
      <c r="AJ107" s="2"/>
    </row>
    <row r="108" spans="1:36" x14ac:dyDescent="0.5">
      <c r="A108" s="2"/>
      <c r="B108" s="2" t="s">
        <v>294</v>
      </c>
      <c r="C108" s="2" t="s">
        <v>297</v>
      </c>
      <c r="D108" s="2" t="s">
        <v>298</v>
      </c>
      <c r="E108" s="6" t="s">
        <v>54</v>
      </c>
      <c r="F108" s="4">
        <v>4</v>
      </c>
      <c r="G108" s="4" t="s">
        <v>41</v>
      </c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5" t="s">
        <v>42</v>
      </c>
      <c r="AJ108" s="2"/>
    </row>
    <row r="109" spans="1:36" x14ac:dyDescent="0.5">
      <c r="A109" s="2"/>
      <c r="B109" s="2" t="s">
        <v>294</v>
      </c>
      <c r="C109" s="2" t="s">
        <v>299</v>
      </c>
      <c r="D109" s="2" t="s">
        <v>300</v>
      </c>
      <c r="E109" s="6" t="s">
        <v>54</v>
      </c>
      <c r="F109" s="4">
        <v>4</v>
      </c>
      <c r="G109" s="4" t="s">
        <v>41</v>
      </c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5" t="s">
        <v>42</v>
      </c>
      <c r="AJ109" s="2"/>
    </row>
    <row r="110" spans="1:36" x14ac:dyDescent="0.5">
      <c r="A110" s="2" t="s">
        <v>301</v>
      </c>
      <c r="B110" s="2" t="s">
        <v>302</v>
      </c>
      <c r="C110" s="2" t="s">
        <v>303</v>
      </c>
      <c r="D110" s="2" t="s">
        <v>304</v>
      </c>
      <c r="E110" s="7" t="s">
        <v>77</v>
      </c>
      <c r="F110" s="4">
        <v>3</v>
      </c>
      <c r="G110" s="4" t="s">
        <v>41</v>
      </c>
      <c r="H110" s="2"/>
      <c r="I110" s="2"/>
      <c r="J110" s="2"/>
      <c r="K110" s="2"/>
      <c r="L110" s="2"/>
      <c r="M110" s="2"/>
      <c r="N110" s="5" t="s">
        <v>42</v>
      </c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5" t="s">
        <v>42</v>
      </c>
      <c r="AE110" s="2"/>
      <c r="AF110" s="2"/>
      <c r="AG110" s="2"/>
      <c r="AH110" s="2"/>
      <c r="AI110" s="2"/>
      <c r="AJ110" s="2"/>
    </row>
    <row r="111" spans="1:36" x14ac:dyDescent="0.5">
      <c r="A111" s="2"/>
      <c r="B111" s="2" t="s">
        <v>302</v>
      </c>
      <c r="C111" s="2" t="s">
        <v>305</v>
      </c>
      <c r="D111" s="2" t="s">
        <v>306</v>
      </c>
      <c r="E111" s="7" t="s">
        <v>77</v>
      </c>
      <c r="F111" s="4">
        <v>3</v>
      </c>
      <c r="G111" s="4" t="s">
        <v>41</v>
      </c>
      <c r="H111" s="2"/>
      <c r="I111" s="2"/>
      <c r="J111" s="2"/>
      <c r="K111" s="2"/>
      <c r="L111" s="2"/>
      <c r="M111" s="2"/>
      <c r="N111" s="5" t="s">
        <v>42</v>
      </c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5" t="s">
        <v>42</v>
      </c>
      <c r="AE111" s="2"/>
      <c r="AF111" s="2"/>
      <c r="AG111" s="2"/>
      <c r="AH111" s="2"/>
      <c r="AI111" s="2"/>
      <c r="AJ111" s="2"/>
    </row>
    <row r="112" spans="1:36" x14ac:dyDescent="0.5">
      <c r="A112" s="2"/>
      <c r="B112" s="2" t="s">
        <v>307</v>
      </c>
      <c r="C112" s="2" t="s">
        <v>308</v>
      </c>
      <c r="D112" s="2" t="s">
        <v>309</v>
      </c>
      <c r="E112" s="8" t="s">
        <v>83</v>
      </c>
      <c r="F112" s="4">
        <v>2</v>
      </c>
      <c r="G112" s="4" t="s">
        <v>41</v>
      </c>
      <c r="H112" s="2"/>
      <c r="I112" s="2"/>
      <c r="J112" s="2"/>
      <c r="K112" s="2"/>
      <c r="L112" s="2"/>
      <c r="M112" s="2"/>
      <c r="N112" s="5" t="s">
        <v>42</v>
      </c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5" t="s">
        <v>42</v>
      </c>
      <c r="AE112" s="2"/>
      <c r="AF112" s="2"/>
      <c r="AG112" s="2"/>
      <c r="AH112" s="2"/>
      <c r="AI112" s="2"/>
      <c r="AJ112" s="2"/>
    </row>
    <row r="113" spans="1:36" x14ac:dyDescent="0.5">
      <c r="A113" s="2"/>
      <c r="B113" s="2" t="s">
        <v>307</v>
      </c>
      <c r="C113" s="2" t="s">
        <v>310</v>
      </c>
      <c r="D113" s="2" t="s">
        <v>311</v>
      </c>
      <c r="E113" s="8" t="s">
        <v>83</v>
      </c>
      <c r="F113" s="4">
        <v>2</v>
      </c>
      <c r="G113" s="4" t="s">
        <v>41</v>
      </c>
      <c r="H113" s="2"/>
      <c r="I113" s="2"/>
      <c r="J113" s="2"/>
      <c r="K113" s="2"/>
      <c r="L113" s="2"/>
      <c r="M113" s="2"/>
      <c r="N113" s="5" t="s">
        <v>42</v>
      </c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5" t="s">
        <v>42</v>
      </c>
      <c r="AE113" s="2"/>
      <c r="AF113" s="2"/>
      <c r="AG113" s="2"/>
      <c r="AH113" s="2"/>
      <c r="AI113" s="2"/>
      <c r="AJ113" s="2"/>
    </row>
    <row r="114" spans="1:36" x14ac:dyDescent="0.5">
      <c r="A114" s="2"/>
      <c r="B114" s="2" t="s">
        <v>312</v>
      </c>
      <c r="C114" s="2" t="s">
        <v>313</v>
      </c>
      <c r="D114" s="2" t="s">
        <v>314</v>
      </c>
      <c r="E114" s="7" t="s">
        <v>77</v>
      </c>
      <c r="F114" s="4">
        <v>3</v>
      </c>
      <c r="G114" s="4" t="s">
        <v>41</v>
      </c>
      <c r="H114" s="2"/>
      <c r="I114" s="2"/>
      <c r="J114" s="2"/>
      <c r="K114" s="2"/>
      <c r="L114" s="2"/>
      <c r="M114" s="2"/>
      <c r="N114" s="5" t="s">
        <v>42</v>
      </c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5" t="s">
        <v>42</v>
      </c>
      <c r="AE114" s="2"/>
      <c r="AF114" s="2"/>
      <c r="AG114" s="2"/>
      <c r="AH114" s="2"/>
      <c r="AI114" s="2"/>
      <c r="AJ114" s="2"/>
    </row>
    <row r="115" spans="1:36" x14ac:dyDescent="0.5">
      <c r="A115" s="2"/>
      <c r="B115" s="2" t="s">
        <v>312</v>
      </c>
      <c r="C115" s="2" t="s">
        <v>315</v>
      </c>
      <c r="D115" s="2" t="s">
        <v>316</v>
      </c>
      <c r="E115" s="7" t="s">
        <v>77</v>
      </c>
      <c r="F115" s="4">
        <v>3</v>
      </c>
      <c r="G115" s="4" t="s">
        <v>41</v>
      </c>
      <c r="H115" s="2"/>
      <c r="I115" s="2"/>
      <c r="J115" s="2"/>
      <c r="K115" s="2"/>
      <c r="L115" s="2"/>
      <c r="M115" s="2"/>
      <c r="N115" s="5" t="s">
        <v>42</v>
      </c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5" t="s">
        <v>42</v>
      </c>
      <c r="AE115" s="2"/>
      <c r="AF115" s="2"/>
      <c r="AG115" s="2"/>
      <c r="AH115" s="2"/>
      <c r="AI115" s="2"/>
      <c r="AJ115" s="2"/>
    </row>
    <row r="116" spans="1:36" x14ac:dyDescent="0.5">
      <c r="A116" s="2" t="s">
        <v>317</v>
      </c>
      <c r="B116" s="2" t="s">
        <v>318</v>
      </c>
      <c r="C116" s="2" t="s">
        <v>319</v>
      </c>
      <c r="D116" s="2" t="s">
        <v>320</v>
      </c>
      <c r="E116" s="10" t="s">
        <v>321</v>
      </c>
      <c r="F116" s="4">
        <v>2</v>
      </c>
      <c r="G116" s="4" t="s">
        <v>41</v>
      </c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</row>
    <row r="117" spans="1:36" x14ac:dyDescent="0.5">
      <c r="A117" s="2"/>
      <c r="B117" s="2" t="s">
        <v>318</v>
      </c>
      <c r="C117" s="2" t="s">
        <v>322</v>
      </c>
      <c r="D117" s="2" t="s">
        <v>323</v>
      </c>
      <c r="E117" s="10" t="s">
        <v>321</v>
      </c>
      <c r="F117" s="4">
        <v>2</v>
      </c>
      <c r="G117" s="4" t="s">
        <v>41</v>
      </c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</row>
    <row r="118" spans="1:36" x14ac:dyDescent="0.5">
      <c r="A118" s="2"/>
      <c r="B118" s="2" t="s">
        <v>318</v>
      </c>
      <c r="C118" s="2" t="s">
        <v>324</v>
      </c>
      <c r="D118" s="2" t="s">
        <v>325</v>
      </c>
      <c r="E118" s="10" t="s">
        <v>321</v>
      </c>
      <c r="F118" s="4">
        <v>2</v>
      </c>
      <c r="G118" s="4" t="s">
        <v>41</v>
      </c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</row>
    <row r="119" spans="1:36" x14ac:dyDescent="0.5">
      <c r="A119" s="2"/>
      <c r="B119" s="2" t="s">
        <v>326</v>
      </c>
      <c r="C119" s="2" t="s">
        <v>327</v>
      </c>
      <c r="D119" s="2" t="s">
        <v>328</v>
      </c>
      <c r="E119" s="10" t="s">
        <v>321</v>
      </c>
      <c r="F119" s="4">
        <v>2</v>
      </c>
      <c r="G119" s="4" t="s">
        <v>41</v>
      </c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</row>
    <row r="120" spans="1:36" x14ac:dyDescent="0.5">
      <c r="A120" s="2"/>
      <c r="B120" s="2" t="s">
        <v>326</v>
      </c>
      <c r="C120" s="2" t="s">
        <v>329</v>
      </c>
      <c r="D120" s="2" t="s">
        <v>330</v>
      </c>
      <c r="E120" s="10" t="s">
        <v>321</v>
      </c>
      <c r="F120" s="4">
        <v>2</v>
      </c>
      <c r="G120" s="4" t="s">
        <v>41</v>
      </c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</row>
    <row r="121" spans="1:36" x14ac:dyDescent="0.5">
      <c r="A121" s="2"/>
      <c r="B121" s="2" t="s">
        <v>331</v>
      </c>
      <c r="C121" s="2" t="s">
        <v>332</v>
      </c>
      <c r="D121" s="2" t="s">
        <v>333</v>
      </c>
      <c r="E121" s="10" t="s">
        <v>321</v>
      </c>
      <c r="F121" s="4">
        <v>2</v>
      </c>
      <c r="G121" s="4" t="s">
        <v>41</v>
      </c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</row>
    <row r="122" spans="1:36" x14ac:dyDescent="0.5">
      <c r="A122" s="2"/>
      <c r="B122" s="2" t="s">
        <v>331</v>
      </c>
      <c r="C122" s="2" t="s">
        <v>334</v>
      </c>
      <c r="D122" s="2" t="s">
        <v>335</v>
      </c>
      <c r="E122" s="10" t="s">
        <v>321</v>
      </c>
      <c r="F122" s="4">
        <v>2</v>
      </c>
      <c r="G122" s="4" t="s">
        <v>41</v>
      </c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</row>
    <row r="123" spans="1:36" x14ac:dyDescent="0.5">
      <c r="A123" s="2" t="s">
        <v>336</v>
      </c>
      <c r="B123" s="2" t="s">
        <v>337</v>
      </c>
      <c r="C123" s="2" t="s">
        <v>338</v>
      </c>
      <c r="D123" s="2" t="s">
        <v>339</v>
      </c>
      <c r="E123" s="2" t="s">
        <v>340</v>
      </c>
      <c r="F123" s="4">
        <v>60</v>
      </c>
      <c r="G123" s="2" t="s">
        <v>41</v>
      </c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11" t="s">
        <v>341</v>
      </c>
      <c r="X123" s="11" t="s">
        <v>341</v>
      </c>
      <c r="Y123" s="11" t="s">
        <v>341</v>
      </c>
      <c r="Z123" s="11" t="s">
        <v>341</v>
      </c>
      <c r="AA123" s="2"/>
      <c r="AB123" s="2"/>
      <c r="AC123" s="2"/>
      <c r="AD123" s="2"/>
      <c r="AE123" s="2"/>
      <c r="AF123" s="2"/>
      <c r="AG123" s="2"/>
      <c r="AH123" s="2"/>
      <c r="AI123" s="2"/>
      <c r="AJ123" s="2"/>
    </row>
    <row r="124" spans="1:36" x14ac:dyDescent="0.5">
      <c r="A124" s="2" t="s">
        <v>336</v>
      </c>
      <c r="B124" s="2" t="s">
        <v>342</v>
      </c>
      <c r="C124" s="2" t="s">
        <v>343</v>
      </c>
      <c r="D124" s="2" t="s">
        <v>344</v>
      </c>
      <c r="E124" s="2" t="s">
        <v>340</v>
      </c>
      <c r="F124" s="4">
        <v>50</v>
      </c>
      <c r="G124" s="2" t="s">
        <v>41</v>
      </c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11" t="s">
        <v>341</v>
      </c>
      <c r="AD124" s="11" t="s">
        <v>341</v>
      </c>
      <c r="AE124" s="11" t="s">
        <v>341</v>
      </c>
      <c r="AF124" s="2"/>
      <c r="AG124" s="2"/>
      <c r="AH124" s="2"/>
      <c r="AI124" s="2"/>
      <c r="AJ124" s="2"/>
    </row>
    <row r="125" spans="1:36" x14ac:dyDescent="0.5">
      <c r="A125" s="2" t="s">
        <v>345</v>
      </c>
      <c r="B125" s="2" t="s">
        <v>346</v>
      </c>
      <c r="C125" s="2" t="s">
        <v>347</v>
      </c>
      <c r="D125" s="2" t="s">
        <v>348</v>
      </c>
      <c r="E125" s="2" t="s">
        <v>340</v>
      </c>
      <c r="F125" s="4">
        <v>2</v>
      </c>
      <c r="G125" s="2" t="s">
        <v>41</v>
      </c>
      <c r="H125" s="2"/>
      <c r="I125" s="2"/>
      <c r="J125" s="2"/>
      <c r="K125" s="2"/>
      <c r="L125" s="2"/>
      <c r="M125" s="2"/>
      <c r="N125" s="2"/>
      <c r="O125" s="12" t="s">
        <v>349</v>
      </c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</row>
    <row r="126" spans="1:36" x14ac:dyDescent="0.5">
      <c r="A126" s="2" t="s">
        <v>345</v>
      </c>
      <c r="B126" s="2" t="s">
        <v>346</v>
      </c>
      <c r="C126" s="2" t="s">
        <v>350</v>
      </c>
      <c r="D126" s="2" t="s">
        <v>351</v>
      </c>
      <c r="E126" s="2" t="s">
        <v>340</v>
      </c>
      <c r="F126" s="4">
        <v>2</v>
      </c>
      <c r="G126" s="2" t="s">
        <v>41</v>
      </c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12" t="s">
        <v>349</v>
      </c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</row>
    <row r="127" spans="1:36" x14ac:dyDescent="0.5">
      <c r="A127" s="2" t="s">
        <v>345</v>
      </c>
      <c r="B127" s="2" t="s">
        <v>346</v>
      </c>
      <c r="C127" s="2" t="s">
        <v>352</v>
      </c>
      <c r="D127" s="2" t="s">
        <v>353</v>
      </c>
      <c r="E127" s="2" t="s">
        <v>340</v>
      </c>
      <c r="F127" s="4">
        <v>2</v>
      </c>
      <c r="G127" s="2" t="s">
        <v>41</v>
      </c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12" t="s">
        <v>349</v>
      </c>
      <c r="AA127" s="2"/>
      <c r="AB127" s="2"/>
      <c r="AC127" s="2"/>
      <c r="AD127" s="2"/>
      <c r="AE127" s="2"/>
      <c r="AF127" s="2"/>
      <c r="AG127" s="2"/>
      <c r="AH127" s="2"/>
      <c r="AI127" s="2"/>
      <c r="AJ127" s="2"/>
    </row>
    <row r="128" spans="1:36" x14ac:dyDescent="0.5">
      <c r="A128" s="2" t="s">
        <v>345</v>
      </c>
      <c r="B128" s="2" t="s">
        <v>346</v>
      </c>
      <c r="C128" s="2" t="s">
        <v>354</v>
      </c>
      <c r="D128" s="2" t="s">
        <v>355</v>
      </c>
      <c r="E128" s="2" t="s">
        <v>340</v>
      </c>
      <c r="F128" s="4">
        <v>2</v>
      </c>
      <c r="G128" s="2" t="s">
        <v>41</v>
      </c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12" t="s">
        <v>349</v>
      </c>
      <c r="AF128" s="2"/>
      <c r="AG128" s="2"/>
      <c r="AH128" s="2"/>
      <c r="AI128" s="2"/>
      <c r="AJ128" s="2"/>
    </row>
    <row r="129" spans="1:36" x14ac:dyDescent="0.5">
      <c r="A129" s="2" t="s">
        <v>345</v>
      </c>
      <c r="B129" s="2" t="s">
        <v>346</v>
      </c>
      <c r="C129" s="2" t="s">
        <v>356</v>
      </c>
      <c r="D129" s="2" t="s">
        <v>357</v>
      </c>
      <c r="E129" s="2" t="s">
        <v>340</v>
      </c>
      <c r="F129" s="4">
        <v>8</v>
      </c>
      <c r="G129" s="2" t="s">
        <v>41</v>
      </c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12" t="s">
        <v>349</v>
      </c>
      <c r="AG129" s="12" t="s">
        <v>349</v>
      </c>
      <c r="AH129" s="12" t="s">
        <v>349</v>
      </c>
      <c r="AI129" s="12" t="s">
        <v>349</v>
      </c>
      <c r="AJ129" s="12" t="s">
        <v>349</v>
      </c>
    </row>
    <row r="130" spans="1:36" x14ac:dyDescent="0.5">
      <c r="A130" s="2" t="s">
        <v>358</v>
      </c>
      <c r="B130" s="2" t="s">
        <v>359</v>
      </c>
      <c r="C130" s="2" t="s">
        <v>360</v>
      </c>
      <c r="D130" s="2" t="s">
        <v>361</v>
      </c>
      <c r="E130" s="2" t="s">
        <v>340</v>
      </c>
      <c r="F130" s="4">
        <v>10</v>
      </c>
      <c r="G130" s="2" t="s">
        <v>41</v>
      </c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9" t="s">
        <v>97</v>
      </c>
    </row>
    <row r="131" spans="1:36" x14ac:dyDescent="0.5">
      <c r="A131" s="2" t="s">
        <v>362</v>
      </c>
      <c r="B131" s="2" t="s">
        <v>363</v>
      </c>
      <c r="C131" s="2" t="s">
        <v>362</v>
      </c>
      <c r="D131" s="2" t="s">
        <v>364</v>
      </c>
      <c r="E131" s="2" t="s">
        <v>340</v>
      </c>
      <c r="F131" s="4">
        <v>84</v>
      </c>
      <c r="G131" s="2" t="s">
        <v>41</v>
      </c>
      <c r="H131" s="2"/>
      <c r="I131" s="5" t="s">
        <v>42</v>
      </c>
      <c r="J131" s="5" t="s">
        <v>42</v>
      </c>
      <c r="K131" s="5" t="s">
        <v>42</v>
      </c>
      <c r="L131" s="5" t="s">
        <v>42</v>
      </c>
      <c r="M131" s="5" t="s">
        <v>42</v>
      </c>
      <c r="N131" s="5" t="s">
        <v>42</v>
      </c>
      <c r="O131" s="5" t="s">
        <v>42</v>
      </c>
      <c r="P131" s="5" t="s">
        <v>42</v>
      </c>
      <c r="Q131" s="5" t="s">
        <v>42</v>
      </c>
      <c r="R131" s="5" t="s">
        <v>42</v>
      </c>
      <c r="S131" s="5" t="s">
        <v>42</v>
      </c>
      <c r="T131" s="5" t="s">
        <v>42</v>
      </c>
      <c r="U131" s="5" t="s">
        <v>42</v>
      </c>
      <c r="V131" s="5" t="s">
        <v>42</v>
      </c>
      <c r="W131" s="5" t="s">
        <v>42</v>
      </c>
      <c r="X131" s="5" t="s">
        <v>42</v>
      </c>
      <c r="Y131" s="5" t="s">
        <v>42</v>
      </c>
      <c r="Z131" s="5" t="s">
        <v>42</v>
      </c>
      <c r="AA131" s="5" t="s">
        <v>42</v>
      </c>
      <c r="AB131" s="5" t="s">
        <v>42</v>
      </c>
      <c r="AC131" s="5" t="s">
        <v>42</v>
      </c>
      <c r="AD131" s="5" t="s">
        <v>42</v>
      </c>
      <c r="AE131" s="5" t="s">
        <v>42</v>
      </c>
      <c r="AF131" s="5" t="s">
        <v>42</v>
      </c>
      <c r="AG131" s="5" t="s">
        <v>42</v>
      </c>
      <c r="AH131" s="5" t="s">
        <v>42</v>
      </c>
      <c r="AI131" s="5" t="s">
        <v>42</v>
      </c>
      <c r="AJ131" s="5" t="s">
        <v>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FCA9AF-A670-46C3-9A94-A17B380C70B1}">
  <dimension ref="A4:H50"/>
  <sheetViews>
    <sheetView tabSelected="1" workbookViewId="0">
      <selection activeCell="E27" sqref="A4:E50"/>
    </sheetView>
  </sheetViews>
  <sheetFormatPr defaultRowHeight="14.35" x14ac:dyDescent="0.5"/>
  <sheetData>
    <row r="4" spans="1:8" x14ac:dyDescent="0.5">
      <c r="A4">
        <v>1</v>
      </c>
      <c r="B4">
        <v>365</v>
      </c>
      <c r="C4">
        <v>365</v>
      </c>
      <c r="D4">
        <f>C4/B4</f>
        <v>1</v>
      </c>
      <c r="E4">
        <f>LN(D4)</f>
        <v>0</v>
      </c>
      <c r="F4">
        <f>SUM(E4:E79)</f>
        <v>-3.0960920434385759</v>
      </c>
      <c r="G4">
        <f>EXP(F4)</f>
        <v>4.5225597166700666E-2</v>
      </c>
      <c r="H4">
        <f>1-G4</f>
        <v>0.95477440283329928</v>
      </c>
    </row>
    <row r="5" spans="1:8" x14ac:dyDescent="0.5">
      <c r="A5">
        <v>2</v>
      </c>
      <c r="B5">
        <v>365</v>
      </c>
      <c r="C5">
        <v>364</v>
      </c>
      <c r="D5">
        <f t="shared" ref="D5:D18" si="0">C5/B5</f>
        <v>0.99726027397260275</v>
      </c>
      <c r="E5">
        <f t="shared" ref="E5:E50" si="1">LN(D5)</f>
        <v>-2.7434859457508326E-3</v>
      </c>
    </row>
    <row r="6" spans="1:8" x14ac:dyDescent="0.5">
      <c r="A6">
        <v>3</v>
      </c>
      <c r="B6">
        <v>365</v>
      </c>
      <c r="C6">
        <v>363</v>
      </c>
      <c r="D6">
        <f t="shared" si="0"/>
        <v>0.9945205479452055</v>
      </c>
      <c r="E6">
        <f t="shared" si="1"/>
        <v>-5.4945193176407017E-3</v>
      </c>
    </row>
    <row r="7" spans="1:8" x14ac:dyDescent="0.5">
      <c r="A7">
        <v>4</v>
      </c>
      <c r="B7">
        <v>365</v>
      </c>
      <c r="C7">
        <v>362</v>
      </c>
      <c r="D7">
        <f t="shared" si="0"/>
        <v>0.99178082191780825</v>
      </c>
      <c r="E7">
        <f t="shared" si="1"/>
        <v>-8.2531417567204141E-3</v>
      </c>
    </row>
    <row r="8" spans="1:8" x14ac:dyDescent="0.5">
      <c r="A8">
        <v>5</v>
      </c>
      <c r="B8">
        <v>365</v>
      </c>
      <c r="C8">
        <v>361</v>
      </c>
      <c r="D8">
        <f t="shared" si="0"/>
        <v>0.989041095890411</v>
      </c>
      <c r="E8">
        <f t="shared" si="1"/>
        <v>-1.1019395249610538E-2</v>
      </c>
    </row>
    <row r="9" spans="1:8" x14ac:dyDescent="0.5">
      <c r="A9">
        <v>6</v>
      </c>
      <c r="B9">
        <v>365</v>
      </c>
      <c r="C9">
        <v>360</v>
      </c>
      <c r="D9">
        <f t="shared" si="0"/>
        <v>0.98630136986301364</v>
      </c>
      <c r="E9">
        <f t="shared" si="1"/>
        <v>-1.3793322132335873E-2</v>
      </c>
    </row>
    <row r="10" spans="1:8" x14ac:dyDescent="0.5">
      <c r="A10">
        <v>7</v>
      </c>
      <c r="B10">
        <v>365</v>
      </c>
      <c r="C10">
        <v>359</v>
      </c>
      <c r="D10">
        <f t="shared" si="0"/>
        <v>0.98356164383561639</v>
      </c>
      <c r="E10">
        <f t="shared" si="1"/>
        <v>-1.6574965094212676E-2</v>
      </c>
    </row>
    <row r="11" spans="1:8" x14ac:dyDescent="0.5">
      <c r="A11">
        <v>8</v>
      </c>
      <c r="B11">
        <v>365</v>
      </c>
      <c r="C11">
        <v>358</v>
      </c>
      <c r="D11">
        <f t="shared" si="0"/>
        <v>0.98082191780821915</v>
      </c>
      <c r="E11">
        <f t="shared" si="1"/>
        <v>-1.9364367181791232E-2</v>
      </c>
    </row>
    <row r="12" spans="1:8" x14ac:dyDescent="0.5">
      <c r="A12">
        <v>9</v>
      </c>
      <c r="B12">
        <v>365</v>
      </c>
      <c r="C12">
        <v>357</v>
      </c>
      <c r="D12">
        <f t="shared" si="0"/>
        <v>0.9780821917808219</v>
      </c>
      <c r="E12">
        <f t="shared" si="1"/>
        <v>-2.2161571802852449E-2</v>
      </c>
    </row>
    <row r="13" spans="1:8" x14ac:dyDescent="0.5">
      <c r="A13">
        <v>10</v>
      </c>
      <c r="B13">
        <v>365</v>
      </c>
      <c r="C13">
        <v>356</v>
      </c>
      <c r="D13">
        <f t="shared" si="0"/>
        <v>0.97534246575342465</v>
      </c>
      <c r="E13">
        <f t="shared" si="1"/>
        <v>-2.4966622730461057E-2</v>
      </c>
    </row>
    <row r="14" spans="1:8" x14ac:dyDescent="0.5">
      <c r="A14">
        <v>11</v>
      </c>
      <c r="B14">
        <v>365</v>
      </c>
      <c r="C14">
        <v>355</v>
      </c>
      <c r="D14">
        <f t="shared" si="0"/>
        <v>0.9726027397260274</v>
      </c>
      <c r="E14">
        <f t="shared" si="1"/>
        <v>-2.7779564107075706E-2</v>
      </c>
    </row>
    <row r="15" spans="1:8" x14ac:dyDescent="0.5">
      <c r="A15">
        <v>12</v>
      </c>
      <c r="B15">
        <v>365</v>
      </c>
      <c r="C15">
        <v>354</v>
      </c>
      <c r="D15">
        <f t="shared" si="0"/>
        <v>0.96986301369863015</v>
      </c>
      <c r="E15">
        <f t="shared" si="1"/>
        <v>-3.0600440448717039E-2</v>
      </c>
    </row>
    <row r="16" spans="1:8" x14ac:dyDescent="0.5">
      <c r="A16">
        <v>13</v>
      </c>
      <c r="B16">
        <v>365</v>
      </c>
      <c r="C16">
        <v>353</v>
      </c>
      <c r="D16">
        <f t="shared" si="0"/>
        <v>0.9671232876712329</v>
      </c>
      <c r="E16">
        <f t="shared" si="1"/>
        <v>-3.3429296649194709E-2</v>
      </c>
    </row>
    <row r="17" spans="1:5" x14ac:dyDescent="0.5">
      <c r="A17">
        <v>14</v>
      </c>
      <c r="B17">
        <v>365</v>
      </c>
      <c r="C17">
        <v>352</v>
      </c>
      <c r="D17">
        <f t="shared" si="0"/>
        <v>0.96438356164383565</v>
      </c>
      <c r="E17">
        <f t="shared" si="1"/>
        <v>-3.6266177984394375E-2</v>
      </c>
    </row>
    <row r="18" spans="1:5" x14ac:dyDescent="0.5">
      <c r="A18">
        <v>15</v>
      </c>
      <c r="B18">
        <v>365</v>
      </c>
      <c r="C18">
        <v>351</v>
      </c>
      <c r="D18">
        <f t="shared" si="0"/>
        <v>0.9616438356164384</v>
      </c>
      <c r="E18">
        <f t="shared" si="1"/>
        <v>-3.9111130116625648E-2</v>
      </c>
    </row>
    <row r="19" spans="1:5" x14ac:dyDescent="0.5">
      <c r="A19">
        <v>16</v>
      </c>
      <c r="B19">
        <v>365</v>
      </c>
      <c r="C19">
        <v>350</v>
      </c>
      <c r="D19">
        <f>C19/B19</f>
        <v>0.95890410958904104</v>
      </c>
      <c r="E19">
        <f>LN(D19)</f>
        <v>-4.1964199099032193E-2</v>
      </c>
    </row>
    <row r="20" spans="1:5" x14ac:dyDescent="0.5">
      <c r="A20">
        <v>17</v>
      </c>
      <c r="B20">
        <v>365</v>
      </c>
      <c r="C20">
        <v>349</v>
      </c>
      <c r="D20">
        <f t="shared" ref="D20:D27" si="2">C20/B20</f>
        <v>0.95616438356164379</v>
      </c>
      <c r="E20">
        <f t="shared" si="1"/>
        <v>-4.4825431380064382E-2</v>
      </c>
    </row>
    <row r="21" spans="1:5" x14ac:dyDescent="0.5">
      <c r="A21">
        <v>18</v>
      </c>
      <c r="B21">
        <v>365</v>
      </c>
      <c r="C21">
        <v>348</v>
      </c>
      <c r="D21">
        <f t="shared" si="2"/>
        <v>0.95342465753424654</v>
      </c>
      <c r="E21">
        <f t="shared" si="1"/>
        <v>-4.7694873808017201E-2</v>
      </c>
    </row>
    <row r="22" spans="1:5" x14ac:dyDescent="0.5">
      <c r="A22">
        <v>19</v>
      </c>
      <c r="B22">
        <v>365</v>
      </c>
      <c r="C22">
        <v>347</v>
      </c>
      <c r="D22">
        <f t="shared" si="2"/>
        <v>0.9506849315068493</v>
      </c>
      <c r="E22">
        <f t="shared" si="1"/>
        <v>-5.0572573635632334E-2</v>
      </c>
    </row>
    <row r="23" spans="1:5" x14ac:dyDescent="0.5">
      <c r="A23">
        <v>20</v>
      </c>
      <c r="B23">
        <v>365</v>
      </c>
      <c r="C23">
        <v>346</v>
      </c>
      <c r="D23">
        <f t="shared" si="2"/>
        <v>0.94794520547945205</v>
      </c>
      <c r="E23">
        <f t="shared" si="1"/>
        <v>-5.3458578524767257E-2</v>
      </c>
    </row>
    <row r="24" spans="1:5" x14ac:dyDescent="0.5">
      <c r="A24">
        <v>21</v>
      </c>
      <c r="B24">
        <v>365</v>
      </c>
      <c r="C24">
        <v>345</v>
      </c>
      <c r="D24">
        <f t="shared" si="2"/>
        <v>0.9452054794520548</v>
      </c>
      <c r="E24">
        <f t="shared" si="1"/>
        <v>-5.6352936551131744E-2</v>
      </c>
    </row>
    <row r="25" spans="1:5" x14ac:dyDescent="0.5">
      <c r="A25">
        <v>22</v>
      </c>
      <c r="B25">
        <v>365</v>
      </c>
      <c r="C25">
        <v>344</v>
      </c>
      <c r="D25">
        <f t="shared" si="2"/>
        <v>0.94246575342465755</v>
      </c>
      <c r="E25">
        <f t="shared" si="1"/>
        <v>-5.9255696209093135E-2</v>
      </c>
    </row>
    <row r="26" spans="1:5" x14ac:dyDescent="0.5">
      <c r="A26">
        <v>23</v>
      </c>
      <c r="B26">
        <v>365</v>
      </c>
      <c r="C26">
        <v>343</v>
      </c>
      <c r="D26">
        <f t="shared" si="2"/>
        <v>0.9397260273972603</v>
      </c>
      <c r="E26">
        <f t="shared" si="1"/>
        <v>-6.2166906416551558E-2</v>
      </c>
    </row>
    <row r="27" spans="1:5" x14ac:dyDescent="0.5">
      <c r="A27">
        <v>24</v>
      </c>
      <c r="B27">
        <v>365</v>
      </c>
      <c r="C27">
        <v>342</v>
      </c>
      <c r="D27">
        <f t="shared" si="2"/>
        <v>0.93698630136986305</v>
      </c>
      <c r="E27">
        <f t="shared" si="1"/>
        <v>-6.5086616519886314E-2</v>
      </c>
    </row>
    <row r="28" spans="1:5" x14ac:dyDescent="0.5">
      <c r="A28">
        <v>25</v>
      </c>
      <c r="B28">
        <v>365</v>
      </c>
      <c r="C28">
        <v>341</v>
      </c>
      <c r="D28">
        <f>C28/B28</f>
        <v>0.9342465753424658</v>
      </c>
      <c r="E28">
        <f>LN(D28)</f>
        <v>-6.8014876298974666E-2</v>
      </c>
    </row>
    <row r="29" spans="1:5" x14ac:dyDescent="0.5">
      <c r="A29">
        <v>26</v>
      </c>
      <c r="B29">
        <v>365</v>
      </c>
      <c r="C29">
        <v>340</v>
      </c>
      <c r="D29">
        <f t="shared" ref="D29:D42" si="3">C29/B29</f>
        <v>0.93150684931506844</v>
      </c>
      <c r="E29">
        <f t="shared" si="1"/>
        <v>-7.0951735972284491E-2</v>
      </c>
    </row>
    <row r="30" spans="1:5" x14ac:dyDescent="0.5">
      <c r="A30">
        <v>27</v>
      </c>
      <c r="B30">
        <v>365</v>
      </c>
      <c r="C30">
        <v>339</v>
      </c>
      <c r="D30">
        <f t="shared" si="3"/>
        <v>0.92876712328767119</v>
      </c>
      <c r="E30">
        <f t="shared" si="1"/>
        <v>-7.3897246202041286E-2</v>
      </c>
    </row>
    <row r="31" spans="1:5" x14ac:dyDescent="0.5">
      <c r="A31">
        <v>28</v>
      </c>
      <c r="B31">
        <v>365</v>
      </c>
      <c r="C31">
        <v>338</v>
      </c>
      <c r="D31">
        <f t="shared" si="3"/>
        <v>0.92602739726027394</v>
      </c>
      <c r="E31">
        <f t="shared" si="1"/>
        <v>-7.6851458099472747E-2</v>
      </c>
    </row>
    <row r="32" spans="1:5" x14ac:dyDescent="0.5">
      <c r="A32">
        <v>29</v>
      </c>
      <c r="B32">
        <v>365</v>
      </c>
      <c r="C32">
        <v>337</v>
      </c>
      <c r="D32">
        <f t="shared" si="3"/>
        <v>0.92328767123287669</v>
      </c>
      <c r="E32">
        <f t="shared" si="1"/>
        <v>-7.98144232301298E-2</v>
      </c>
    </row>
    <row r="33" spans="1:5" x14ac:dyDescent="0.5">
      <c r="A33">
        <v>30</v>
      </c>
      <c r="B33">
        <v>365</v>
      </c>
      <c r="C33">
        <v>336</v>
      </c>
      <c r="D33">
        <f t="shared" si="3"/>
        <v>0.92054794520547945</v>
      </c>
      <c r="E33">
        <f t="shared" si="1"/>
        <v>-8.2786193619287282E-2</v>
      </c>
    </row>
    <row r="34" spans="1:5" x14ac:dyDescent="0.5">
      <c r="A34">
        <v>31</v>
      </c>
      <c r="B34">
        <v>365</v>
      </c>
      <c r="C34">
        <v>335</v>
      </c>
      <c r="D34">
        <f t="shared" si="3"/>
        <v>0.9178082191780822</v>
      </c>
      <c r="E34">
        <f t="shared" si="1"/>
        <v>-8.576682175742506E-2</v>
      </c>
    </row>
    <row r="35" spans="1:5" x14ac:dyDescent="0.5">
      <c r="A35">
        <v>32</v>
      </c>
      <c r="B35">
        <v>365</v>
      </c>
      <c r="C35">
        <v>334</v>
      </c>
      <c r="D35">
        <f t="shared" si="3"/>
        <v>0.91506849315068495</v>
      </c>
      <c r="E35">
        <f t="shared" si="1"/>
        <v>-8.8756360605791076E-2</v>
      </c>
    </row>
    <row r="36" spans="1:5" x14ac:dyDescent="0.5">
      <c r="A36">
        <v>33</v>
      </c>
      <c r="B36">
        <v>365</v>
      </c>
      <c r="C36">
        <v>333</v>
      </c>
      <c r="D36">
        <f t="shared" si="3"/>
        <v>0.9123287671232877</v>
      </c>
      <c r="E36">
        <f t="shared" si="1"/>
        <v>-9.1754863602047654E-2</v>
      </c>
    </row>
    <row r="37" spans="1:5" x14ac:dyDescent="0.5">
      <c r="A37">
        <v>34</v>
      </c>
      <c r="B37">
        <v>365</v>
      </c>
      <c r="C37">
        <v>332</v>
      </c>
      <c r="D37">
        <f t="shared" si="3"/>
        <v>0.90958904109589045</v>
      </c>
      <c r="E37">
        <f t="shared" si="1"/>
        <v>-9.4762384666002925E-2</v>
      </c>
    </row>
    <row r="38" spans="1:5" x14ac:dyDescent="0.5">
      <c r="A38">
        <v>35</v>
      </c>
      <c r="B38">
        <v>365</v>
      </c>
      <c r="C38">
        <v>331</v>
      </c>
      <c r="D38">
        <f t="shared" si="3"/>
        <v>0.9068493150684932</v>
      </c>
      <c r="E38">
        <f t="shared" si="1"/>
        <v>-9.7778978205428552E-2</v>
      </c>
    </row>
    <row r="39" spans="1:5" x14ac:dyDescent="0.5">
      <c r="A39">
        <v>36</v>
      </c>
      <c r="B39">
        <v>365</v>
      </c>
      <c r="C39">
        <v>330</v>
      </c>
      <c r="D39">
        <f t="shared" si="3"/>
        <v>0.90410958904109584</v>
      </c>
      <c r="E39">
        <f t="shared" si="1"/>
        <v>-0.10080469912196564</v>
      </c>
    </row>
    <row r="40" spans="1:5" x14ac:dyDescent="0.5">
      <c r="A40">
        <v>37</v>
      </c>
      <c r="B40">
        <v>365</v>
      </c>
      <c r="C40">
        <v>329</v>
      </c>
      <c r="D40">
        <f t="shared" si="3"/>
        <v>0.90136986301369859</v>
      </c>
      <c r="E40">
        <f t="shared" si="1"/>
        <v>-0.10383960281711965</v>
      </c>
    </row>
    <row r="41" spans="1:5" x14ac:dyDescent="0.5">
      <c r="A41">
        <v>38</v>
      </c>
      <c r="B41">
        <v>365</v>
      </c>
      <c r="C41">
        <v>328</v>
      </c>
      <c r="D41">
        <f t="shared" si="3"/>
        <v>0.89863013698630134</v>
      </c>
      <c r="E41">
        <f t="shared" si="1"/>
        <v>-0.1068837451983478</v>
      </c>
    </row>
    <row r="42" spans="1:5" x14ac:dyDescent="0.5">
      <c r="A42">
        <v>39</v>
      </c>
      <c r="B42">
        <v>365</v>
      </c>
      <c r="C42">
        <v>327</v>
      </c>
      <c r="D42">
        <f t="shared" si="3"/>
        <v>0.89589041095890409</v>
      </c>
      <c r="E42">
        <f t="shared" si="1"/>
        <v>-0.10993718268523812</v>
      </c>
    </row>
    <row r="43" spans="1:5" x14ac:dyDescent="0.5">
      <c r="A43">
        <v>40</v>
      </c>
      <c r="B43">
        <v>365</v>
      </c>
      <c r="C43">
        <v>326</v>
      </c>
      <c r="D43">
        <f>C43/B43</f>
        <v>0.89315068493150684</v>
      </c>
      <c r="E43">
        <f>LN(D43)</f>
        <v>-0.11299997221578387</v>
      </c>
    </row>
    <row r="44" spans="1:5" x14ac:dyDescent="0.5">
      <c r="A44">
        <v>41</v>
      </c>
      <c r="B44">
        <v>365</v>
      </c>
      <c r="C44">
        <v>325</v>
      </c>
      <c r="D44">
        <f t="shared" ref="D44:D50" si="4">C44/B44</f>
        <v>0.8904109589041096</v>
      </c>
      <c r="E44">
        <f t="shared" si="1"/>
        <v>-0.11607217125275401</v>
      </c>
    </row>
    <row r="45" spans="1:5" x14ac:dyDescent="0.5">
      <c r="A45">
        <v>42</v>
      </c>
      <c r="B45">
        <v>365</v>
      </c>
      <c r="C45">
        <v>324</v>
      </c>
      <c r="D45">
        <f t="shared" si="4"/>
        <v>0.88767123287671235</v>
      </c>
      <c r="E45">
        <f t="shared" si="1"/>
        <v>-0.1191538377901621</v>
      </c>
    </row>
    <row r="46" spans="1:5" x14ac:dyDescent="0.5">
      <c r="A46">
        <v>43</v>
      </c>
      <c r="B46">
        <v>365</v>
      </c>
      <c r="C46">
        <v>323</v>
      </c>
      <c r="D46">
        <f t="shared" si="4"/>
        <v>0.8849315068493151</v>
      </c>
      <c r="E46">
        <f t="shared" si="1"/>
        <v>-0.12224503035983493</v>
      </c>
    </row>
    <row r="47" spans="1:5" x14ac:dyDescent="0.5">
      <c r="A47">
        <v>44</v>
      </c>
      <c r="B47">
        <v>365</v>
      </c>
      <c r="C47">
        <v>322</v>
      </c>
      <c r="D47">
        <f t="shared" si="4"/>
        <v>0.88219178082191785</v>
      </c>
      <c r="E47">
        <f t="shared" si="1"/>
        <v>-0.12534580803808315</v>
      </c>
    </row>
    <row r="48" spans="1:5" x14ac:dyDescent="0.5">
      <c r="A48">
        <v>45</v>
      </c>
      <c r="B48">
        <v>365</v>
      </c>
      <c r="C48">
        <v>321</v>
      </c>
      <c r="D48">
        <f t="shared" si="4"/>
        <v>0.8794520547945206</v>
      </c>
      <c r="E48">
        <f t="shared" si="1"/>
        <v>-0.12845623045247559</v>
      </c>
    </row>
    <row r="49" spans="1:5" x14ac:dyDescent="0.5">
      <c r="A49">
        <v>46</v>
      </c>
      <c r="B49">
        <v>365</v>
      </c>
      <c r="C49">
        <v>320</v>
      </c>
      <c r="D49">
        <f t="shared" si="4"/>
        <v>0.87671232876712324</v>
      </c>
      <c r="E49">
        <f t="shared" si="1"/>
        <v>-0.13157635778871932</v>
      </c>
    </row>
    <row r="50" spans="1:5" x14ac:dyDescent="0.5">
      <c r="A50">
        <v>47</v>
      </c>
      <c r="B50">
        <v>365</v>
      </c>
      <c r="C50">
        <v>319</v>
      </c>
      <c r="D50">
        <f t="shared" si="4"/>
        <v>0.87397260273972599</v>
      </c>
      <c r="E50">
        <f t="shared" si="1"/>
        <v>-0.13470625079764698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2"/>
  <sheetViews>
    <sheetView workbookViewId="0"/>
  </sheetViews>
  <sheetFormatPr defaultRowHeight="14.35" x14ac:dyDescent="0.5"/>
  <sheetData>
    <row r="1" spans="1:3" x14ac:dyDescent="0.5">
      <c r="A1" t="s">
        <v>365</v>
      </c>
    </row>
    <row r="2" spans="1:3" x14ac:dyDescent="0.5">
      <c r="A2" t="s">
        <v>42</v>
      </c>
      <c r="B2" t="s">
        <v>366</v>
      </c>
      <c r="C2" t="s">
        <v>367</v>
      </c>
    </row>
    <row r="3" spans="1:3" x14ac:dyDescent="0.5">
      <c r="A3" t="s">
        <v>97</v>
      </c>
      <c r="B3" t="s">
        <v>358</v>
      </c>
      <c r="C3" t="s">
        <v>368</v>
      </c>
    </row>
    <row r="4" spans="1:3" x14ac:dyDescent="0.5">
      <c r="A4" t="s">
        <v>341</v>
      </c>
      <c r="B4" t="s">
        <v>336</v>
      </c>
      <c r="C4" t="s">
        <v>369</v>
      </c>
    </row>
    <row r="5" spans="1:3" x14ac:dyDescent="0.5">
      <c r="A5" t="s">
        <v>349</v>
      </c>
      <c r="B5" t="s">
        <v>346</v>
      </c>
      <c r="C5" t="s">
        <v>370</v>
      </c>
    </row>
    <row r="7" spans="1:3" x14ac:dyDescent="0.5">
      <c r="A7" t="s">
        <v>371</v>
      </c>
    </row>
    <row r="8" spans="1:3" x14ac:dyDescent="0.5">
      <c r="A8" t="s">
        <v>40</v>
      </c>
      <c r="B8" t="s">
        <v>372</v>
      </c>
      <c r="C8" t="s">
        <v>373</v>
      </c>
    </row>
    <row r="9" spans="1:3" x14ac:dyDescent="0.5">
      <c r="A9" t="s">
        <v>54</v>
      </c>
      <c r="B9" t="s">
        <v>374</v>
      </c>
      <c r="C9" t="s">
        <v>369</v>
      </c>
    </row>
    <row r="10" spans="1:3" x14ac:dyDescent="0.5">
      <c r="A10" t="s">
        <v>77</v>
      </c>
      <c r="B10" t="s">
        <v>375</v>
      </c>
      <c r="C10" t="s">
        <v>376</v>
      </c>
    </row>
    <row r="11" spans="1:3" x14ac:dyDescent="0.5">
      <c r="A11" t="s">
        <v>83</v>
      </c>
      <c r="B11" t="s">
        <v>377</v>
      </c>
      <c r="C11" t="s">
        <v>367</v>
      </c>
    </row>
    <row r="12" spans="1:3" x14ac:dyDescent="0.5">
      <c r="A12" t="s">
        <v>321</v>
      </c>
      <c r="B12" t="s">
        <v>378</v>
      </c>
      <c r="C12" t="s">
        <v>379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4"/>
  <sheetViews>
    <sheetView workbookViewId="0"/>
  </sheetViews>
  <sheetFormatPr defaultRowHeight="14.35" x14ac:dyDescent="0.5"/>
  <sheetData>
    <row r="1" spans="1:2" x14ac:dyDescent="0.5">
      <c r="A1" t="s">
        <v>380</v>
      </c>
    </row>
    <row r="3" spans="1:2" x14ac:dyDescent="0.5">
      <c r="A3" t="s">
        <v>381</v>
      </c>
      <c r="B3">
        <v>121</v>
      </c>
    </row>
    <row r="4" spans="1:2" x14ac:dyDescent="0.5">
      <c r="A4" t="s">
        <v>382</v>
      </c>
      <c r="B4">
        <v>468</v>
      </c>
    </row>
    <row r="5" spans="1:2" x14ac:dyDescent="0.5">
      <c r="A5" t="s">
        <v>383</v>
      </c>
      <c r="B5">
        <v>110</v>
      </c>
    </row>
    <row r="6" spans="1:2" x14ac:dyDescent="0.5">
      <c r="A6" t="s">
        <v>384</v>
      </c>
      <c r="B6">
        <v>84</v>
      </c>
    </row>
    <row r="7" spans="1:2" x14ac:dyDescent="0.5">
      <c r="A7" t="s">
        <v>385</v>
      </c>
      <c r="B7">
        <v>16</v>
      </c>
    </row>
    <row r="8" spans="1:2" x14ac:dyDescent="0.5">
      <c r="A8" t="s">
        <v>386</v>
      </c>
      <c r="B8">
        <v>10</v>
      </c>
    </row>
    <row r="9" spans="1:2" x14ac:dyDescent="0.5">
      <c r="A9" t="s">
        <v>387</v>
      </c>
      <c r="B9">
        <v>688</v>
      </c>
    </row>
    <row r="11" spans="1:2" x14ac:dyDescent="0.5">
      <c r="A11" t="s">
        <v>388</v>
      </c>
      <c r="B11" t="s">
        <v>389</v>
      </c>
    </row>
    <row r="12" spans="1:2" x14ac:dyDescent="0.5">
      <c r="A12" t="s">
        <v>390</v>
      </c>
      <c r="B12" t="s">
        <v>391</v>
      </c>
    </row>
    <row r="14" spans="1:2" x14ac:dyDescent="0.5">
      <c r="A14" t="s">
        <v>392</v>
      </c>
    </row>
    <row r="15" spans="1:2" x14ac:dyDescent="0.5">
      <c r="A15" t="s">
        <v>393</v>
      </c>
      <c r="B15">
        <v>22</v>
      </c>
    </row>
    <row r="16" spans="1:2" x14ac:dyDescent="0.5">
      <c r="A16" t="s">
        <v>394</v>
      </c>
      <c r="B16">
        <v>12</v>
      </c>
    </row>
    <row r="17" spans="1:2" x14ac:dyDescent="0.5">
      <c r="A17" t="s">
        <v>395</v>
      </c>
      <c r="B17">
        <v>20</v>
      </c>
    </row>
    <row r="18" spans="1:2" x14ac:dyDescent="0.5">
      <c r="A18" t="s">
        <v>396</v>
      </c>
      <c r="B18">
        <v>12</v>
      </c>
    </row>
    <row r="19" spans="1:2" x14ac:dyDescent="0.5">
      <c r="A19" t="s">
        <v>397</v>
      </c>
      <c r="B19">
        <v>14</v>
      </c>
    </row>
    <row r="20" spans="1:2" x14ac:dyDescent="0.5">
      <c r="A20" t="s">
        <v>398</v>
      </c>
      <c r="B20">
        <v>12</v>
      </c>
    </row>
    <row r="21" spans="1:2" x14ac:dyDescent="0.5">
      <c r="A21" t="s">
        <v>399</v>
      </c>
      <c r="B21">
        <v>9</v>
      </c>
    </row>
    <row r="22" spans="1:2" x14ac:dyDescent="0.5">
      <c r="A22" t="s">
        <v>400</v>
      </c>
      <c r="B22">
        <v>7</v>
      </c>
    </row>
    <row r="23" spans="1:2" x14ac:dyDescent="0.5">
      <c r="A23" t="s">
        <v>401</v>
      </c>
      <c r="B23">
        <v>6</v>
      </c>
    </row>
    <row r="24" spans="1:2" x14ac:dyDescent="0.5">
      <c r="A24" t="s">
        <v>402</v>
      </c>
      <c r="B24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Study Gantt</vt:lpstr>
      <vt:lpstr>Sheet1</vt:lpstr>
      <vt:lpstr>Legend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Mohamed Kamel</cp:lastModifiedBy>
  <dcterms:created xsi:type="dcterms:W3CDTF">2026-02-06T04:44:59Z</dcterms:created>
  <dcterms:modified xsi:type="dcterms:W3CDTF">2026-03-08T09:23:04Z</dcterms:modified>
</cp:coreProperties>
</file>